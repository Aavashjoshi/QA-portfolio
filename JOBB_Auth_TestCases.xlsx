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 firstSheet="3" activeTab="5"/>
  </bookViews>
  <sheets>
    <sheet name="Legend" sheetId="1" r:id="rId1"/>
    <sheet name="Signup" sheetId="2" r:id="rId2"/>
    <sheet name="OTP Verification" sheetId="3" r:id="rId3"/>
    <sheet name="Login" sheetId="6" r:id="rId4"/>
    <sheet name="Defects" sheetId="4" r:id="rId5"/>
    <sheet name="Summary" sheetId="5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/>
  <c r="C30" i="5"/>
  <c r="E10" i="5"/>
  <c r="D10" i="5"/>
  <c r="C10" i="5"/>
  <c r="F10" i="5" s="1"/>
  <c r="E9" i="5"/>
  <c r="D9" i="5"/>
  <c r="C9" i="5"/>
  <c r="F9" i="5" s="1"/>
  <c r="E8" i="5"/>
  <c r="D8" i="5"/>
  <c r="C8" i="5"/>
  <c r="F8" i="5" s="1"/>
  <c r="E7" i="5"/>
  <c r="D7" i="5"/>
  <c r="C7" i="5"/>
  <c r="F7" i="5" s="1"/>
  <c r="F12" i="5" s="1"/>
  <c r="E6" i="5"/>
  <c r="D6" i="5"/>
  <c r="C6" i="5"/>
  <c r="F6" i="5" l="1"/>
  <c r="C32" i="5"/>
  <c r="F11" i="5"/>
</calcChain>
</file>

<file path=xl/sharedStrings.xml><?xml version="1.0" encoding="utf-8"?>
<sst xmlns="http://schemas.openxmlformats.org/spreadsheetml/2006/main" count="829" uniqueCount="507">
  <si>
    <t>CAREER CONNECT (JOBB) - AUTH MODULE TEST CASES</t>
  </si>
  <si>
    <t>START HERE — THIS WORKBOOK CONTAINS 6 WORKSHEETS</t>
  </si>
  <si>
    <t>Use the sheet tabs at the bottom to review: Summary, Legend, Signup, OTP Verification, Login and Defects.</t>
  </si>
  <si>
    <t>APPROACH</t>
  </si>
  <si>
    <t>What was done</t>
  </si>
  <si>
    <t>Method</t>
  </si>
  <si>
    <t>Black box functional testing through the user interface. The application was run locally and each case was executed by hand on the Signup and OTP screens.</t>
  </si>
  <si>
    <t>Expected results</t>
  </si>
  <si>
    <t>No formal requirement document was available. Expected results are clearly stated testing assumptions based on common validation and security practices, then compared with the running application.</t>
  </si>
  <si>
    <t>Scope</t>
  </si>
  <si>
    <t>Registration, email verification and the related unverified-login check. Job posting, applications and API-level testing are outside this workbook.</t>
  </si>
  <si>
    <t>STATUS</t>
  </si>
  <si>
    <t>What it means</t>
  </si>
  <si>
    <t>Pass</t>
  </si>
  <si>
    <t>The actual result matched the expected result.</t>
  </si>
  <si>
    <t>Fail</t>
  </si>
  <si>
    <t>The actual result did not match. A defect is recorded in the Remarks column.</t>
  </si>
  <si>
    <t>Not Executed</t>
  </si>
  <si>
    <t>The case is designed but has not been run yet.</t>
  </si>
  <si>
    <t>Blocked</t>
  </si>
  <si>
    <t>The case could not be run because something else prevented it.</t>
  </si>
  <si>
    <t>COLUMN</t>
  </si>
  <si>
    <t>What goes in it</t>
  </si>
  <si>
    <t>Precondition</t>
  </si>
  <si>
    <t>What must already be true before the steps are followed.</t>
  </si>
  <si>
    <t>Test Steps</t>
  </si>
  <si>
    <t>Numbered steps. Another tester should be able to execute the case from these alone.</t>
  </si>
  <si>
    <t>Test Data</t>
  </si>
  <si>
    <t>The exact input used, with personal information masked before sharing.</t>
  </si>
  <si>
    <t>Expected Result</t>
  </si>
  <si>
    <t>What should happen according to the rules the application enforces.</t>
  </si>
  <si>
    <t>Actual Result</t>
  </si>
  <si>
    <t>What actually happened, including the exact message shown on screen.</t>
  </si>
  <si>
    <t>Severity</t>
  </si>
  <si>
    <t>Filled in only when a case fails.</t>
  </si>
  <si>
    <t>Technique</t>
  </si>
  <si>
    <t>Positive, Negative, Equivalence Partitioning, Boundary Value Analysis, Security or Data verification.</t>
  </si>
  <si>
    <t>SHEETS</t>
  </si>
  <si>
    <t>What each one holds</t>
  </si>
  <si>
    <t>Signup</t>
  </si>
  <si>
    <t>28 cases covering registration fields, phone and password boundaries, duplicate submission and email rules.</t>
  </si>
  <si>
    <t>OTP Verification</t>
  </si>
  <si>
    <t>15 cases covering verification, expiry, resend, reuse, input validation and resend controls.</t>
  </si>
  <si>
    <t>Defects</t>
  </si>
  <si>
    <t>The 10 defects found, including severity, observed behaviour and business/security impact.</t>
  </si>
  <si>
    <t>Summary</t>
  </si>
  <si>
    <t>Counts by status, the defect list and the single most important finding.</t>
  </si>
  <si>
    <t>Login</t>
  </si>
  <si>
    <t>15 designed cases covering credentials, required fields, normalization, unverified accounts, repeated attempts and common security inputs.</t>
  </si>
  <si>
    <t>SEVERITY</t>
  </si>
  <si>
    <t>How it was judged</t>
  </si>
  <si>
    <t>High</t>
  </si>
  <si>
    <t>A security weakness, or a failure that stops users completing a core task.</t>
  </si>
  <si>
    <t>Medium</t>
  </si>
  <si>
    <t>Wrong behaviour that reaches the database or blocks a valid user, with a workaround available.</t>
  </si>
  <si>
    <t>Low</t>
  </si>
  <si>
    <t>Wording, layout or polish. No functional impact.</t>
  </si>
  <si>
    <t>TEST CASES - USER REGISTRATION (Signup screen)</t>
  </si>
  <si>
    <t>Project : Career Connect (JOB PORTAL)</t>
  </si>
  <si>
    <t>Test Case ID</t>
  </si>
  <si>
    <t>Module</t>
  </si>
  <si>
    <t>Test Scenario</t>
  </si>
  <si>
    <t>Status</t>
  </si>
  <si>
    <t>Remarks</t>
  </si>
  <si>
    <t>TC_REG_001</t>
  </si>
  <si>
    <t>Register with all valid details</t>
  </si>
  <si>
    <t>Signup page is open and the email is not already registered</t>
  </si>
  <si>
    <t>1. Open the Signup page
2. Fill Full Name, Email, Phone Number, Password and Confirm Password
3. Select a role
4. Click Signup</t>
  </si>
  <si>
    <t xml:space="preserve"> joshiaavash111@gmail.com / 98******52 / Pa$$@1234 / Pa$$@1234 / Jobseeker</t>
  </si>
  <si>
    <t>Account is created and the OTP verification screen opens</t>
  </si>
  <si>
    <t>Account was created and the OTP screen opened as expected</t>
  </si>
  <si>
    <t>Positive</t>
  </si>
  <si>
    <t>TC_REG_002</t>
  </si>
  <si>
    <t>Submit with Full Name empty</t>
  </si>
  <si>
    <t>Signup page is open</t>
  </si>
  <si>
    <t>1. Leave Full Name blank
2. Fill every other field correctly
3. Select a role
4. Click Signup</t>
  </si>
  <si>
    <t>fullname blank, all other fields valid</t>
  </si>
  <si>
    <t>A validation message naming the Full Name field</t>
  </si>
  <si>
    <t>Message displayed: Please enter your full name</t>
  </si>
  <si>
    <t>Negative</t>
  </si>
  <si>
    <t>TC_REG_003</t>
  </si>
  <si>
    <t>Submit with Email empty</t>
  </si>
  <si>
    <t>1. Leave Email blank
2. Fill every other field correctly
3. Click Signup</t>
  </si>
  <si>
    <t>email blank, all other fields valid</t>
  </si>
  <si>
    <t>A validation message naming the Email field</t>
  </si>
  <si>
    <t>Message displayed: Please enter your email</t>
  </si>
  <si>
    <t>TC_REG_004</t>
  </si>
  <si>
    <t>Submit with Phone Number empty</t>
  </si>
  <si>
    <t>1. Leave Phone Number blank
2. Fill every other field correctly
3. Click Signup</t>
  </si>
  <si>
    <t>phoneNumber blank, all other fields valid</t>
  </si>
  <si>
    <t>A validation message naming the Phone Number field</t>
  </si>
  <si>
    <t>Message displayed: Please enter your phone number</t>
  </si>
  <si>
    <t>TC_REG_005</t>
  </si>
  <si>
    <t>Submit with Password empty</t>
  </si>
  <si>
    <t>1. Leave Password blank
2. Fill every other field correctly
3. Click Signup</t>
  </si>
  <si>
    <t>password blank, all other fields valid</t>
  </si>
  <si>
    <t>A validation message naming the Password field</t>
  </si>
  <si>
    <t>Message displayed: Please enter the password</t>
  </si>
  <si>
    <t>TC_REG_006</t>
  </si>
  <si>
    <t>Submit without selecting a role</t>
  </si>
  <si>
    <t>1. Fill every field correctly
2. Do not select Jobseeker or Recruiter
3. Click Signup</t>
  </si>
  <si>
    <t>role not selected</t>
  </si>
  <si>
    <t>A validation message asking the user to select a role</t>
  </si>
  <si>
    <t>Message displayed: Please select the role</t>
  </si>
  <si>
    <t>TC_REG_007</t>
  </si>
  <si>
    <t>Full Name containing digits</t>
  </si>
  <si>
    <t>1. Enter Aavash123 in Full Name
2. Fill every other field correctly
3. Select a role
4. Click Signup
5. Check whether the account was created</t>
  </si>
  <si>
    <t>fullname Aavash123</t>
  </si>
  <si>
    <t>Rejected with a message that a name must not contain numbers</t>
  </si>
  <si>
    <t>Registration completed successfully. Aavash123 was accepted as a valid name and the account was created</t>
  </si>
  <si>
    <t>Full Name accepts digits. Logged as D-01.</t>
  </si>
  <si>
    <t>TC_REG_008</t>
  </si>
  <si>
    <t>Phone number not starting with 98</t>
  </si>
  <si>
    <t>1. Enter 1234567890 in Phone Number
2. Fill every other field correctly
3. Click Signup</t>
  </si>
  <si>
    <t>phoneNumber 1234567890</t>
  </si>
  <si>
    <t>Rejected with a message about the phone number prefix</t>
  </si>
  <si>
    <t>Message displayed: Phone number must start with 98</t>
  </si>
  <si>
    <t>Negative / EP</t>
  </si>
  <si>
    <t>TC_REG_009</t>
  </si>
  <si>
    <t>Phone number shorter than 10 digits</t>
  </si>
  <si>
    <t>1. Enter 987 in Phone Number
2. Fill every other field correctly
3. Click Signup</t>
  </si>
  <si>
    <t>phoneNumber 987</t>
  </si>
  <si>
    <t>Rejected with a message about the required length</t>
  </si>
  <si>
    <t>Message displayed: Phone number must be 10 digits</t>
  </si>
  <si>
    <t>BVA (below min)</t>
  </si>
  <si>
    <t>TC_REG_010</t>
  </si>
  <si>
    <t>Password shorter than the minimum length</t>
  </si>
  <si>
    <t>1. Enter Pas@1 in Password and Confirm Password
2. Fill every other field correctly
3. Click Signup</t>
  </si>
  <si>
    <t>password Pas@1 in both fields</t>
  </si>
  <si>
    <t>Registration is rejected with a message explaining the minimum password length</t>
  </si>
  <si>
    <t>Message displayed: Password must be at lease 6 digits with at least  one special character , one capital letter and must be one number.</t>
  </si>
  <si>
    <t>The password rule works, but the message has spelling and wording errors. Logged as D-02.</t>
  </si>
  <si>
    <t>TC_REG_011</t>
  </si>
  <si>
    <t>Password and Confirm Password do not match</t>
  </si>
  <si>
    <t>1. Enter Pass@1234 in Password
2. Enter Pass@4321 in Confirm Password
3. Fill every other field correctly
4. Click Signup</t>
  </si>
  <si>
    <t>Pass@1234 and Pass@4321</t>
  </si>
  <si>
    <t>Rejected with a mismatch message</t>
  </si>
  <si>
    <t>Message displayed: Password and confirm password did not match</t>
  </si>
  <si>
    <t>TC_REG_012</t>
  </si>
  <si>
    <t>Register with an email that is already registered</t>
  </si>
  <si>
    <t>An account already exists with the email used</t>
  </si>
  <si>
    <t>1. Fill the form using an already registered email
2. Fill every other field correctly
3. Click Signup</t>
  </si>
  <si>
    <t>an existing email address</t>
  </si>
  <si>
    <t>Rejected with a message that the email is already registered</t>
  </si>
  <si>
    <t>Message displayed: Mail is registered previously</t>
  </si>
  <si>
    <t>TC_REG_013</t>
  </si>
  <si>
    <t>Phone number starting with 97</t>
  </si>
  <si>
    <t>1. Enter 9741234567 in Phone Number
2. Fill every other field correctly
3. Click Signup</t>
  </si>
  <si>
    <t>phoneNumber 9741234567</t>
  </si>
  <si>
    <t>Accepted, because 97 is a valid Nepali mobile prefix</t>
  </si>
  <si>
    <t>EP / Negative</t>
  </si>
  <si>
    <t>A valid Nepali mobile number beginning with 97 is rejected. Logged as D-03.</t>
  </si>
  <si>
    <t>TC_REG_014</t>
  </si>
  <si>
    <t>Phone number longer than 10 digits</t>
  </si>
  <si>
    <t>1. Enter 98123456789 in Phone Number
2. Fill every other field correctly
3. Click Signup</t>
  </si>
  <si>
    <t>phoneNumber 98123456789</t>
  </si>
  <si>
    <t>Either the field stops at 10 digits or a length message is shown</t>
  </si>
  <si>
    <t>Message displayed : Phone number must be 10 digits .</t>
  </si>
  <si>
    <t>BVA (above max)</t>
  </si>
  <si>
    <t>TC_REG_015</t>
  </si>
  <si>
    <t>Phone number of exactly 10 digits</t>
  </si>
  <si>
    <t>1. Enter 9812345678 in Phone Number
2. Fill every other field correctly
3. Click Signup</t>
  </si>
  <si>
    <t>phoneNumber 9812345678</t>
  </si>
  <si>
    <t>Accepted and registration proceeds</t>
  </si>
  <si>
    <t>BVA (valid)</t>
  </si>
  <si>
    <t>TC_REG_016</t>
  </si>
  <si>
    <t>Letters entered in the Phone Number field</t>
  </si>
  <si>
    <t>1. Type abcdefghij in Phone Number
2. Fill every other field correctly
3. Click Signup</t>
  </si>
  <si>
    <t>phoneNumber abcdefghij</t>
  </si>
  <si>
    <t>Letters are not accepted, or a validation message is shown</t>
  </si>
  <si>
    <t>The input is rejected, but the prefix message does not explain that letters are invalid. Consider logging a separate message-quality defect.</t>
  </si>
  <si>
    <t>TC_REG_017</t>
  </si>
  <si>
    <t>Email in an invalid format</t>
  </si>
  <si>
    <t>1. Enter aavash@ in Email
2. Fill every other field correctly
3. Click Signup</t>
  </si>
  <si>
    <t>email aavash@</t>
  </si>
  <si>
    <t>Rejected with an invalid email message</t>
  </si>
  <si>
    <t>Message Displayed : Email must end with @gmail.com</t>
  </si>
  <si>
    <t>TC_REG_018</t>
  </si>
  <si>
    <t>Full Name containing unsupported symbols</t>
  </si>
  <si>
    <t>1. Enter aavash@#$ in Full Name
2. Fill every other field correctly
3. Click Signup</t>
  </si>
  <si>
    <t>fullname aavash@#$</t>
  </si>
  <si>
    <t>Registration is rejected for unsupported name symbols</t>
  </si>
  <si>
    <t>Registration completed successfully. aavash@#$ was accepted as a valid name and the account was created</t>
  </si>
  <si>
    <t>Full Name accepts unsupported symbols. Logged as D-04.</t>
  </si>
  <si>
    <t>TC_REG_019</t>
  </si>
  <si>
    <t>Leading and trailing spaces in the email</t>
  </si>
  <si>
    <t>1. Enter the email with a space before and after
2. Fill every other field correctly
3. Click Signup</t>
  </si>
  <si>
    <t>'  joshiaavash111@gmail.com  '</t>
  </si>
  <si>
    <t>Spaces are trimmed and registration succeeds</t>
  </si>
  <si>
    <t>TC_REG_020</t>
  </si>
  <si>
    <t>Password field masks the input</t>
  </si>
  <si>
    <t>1. Type a password in the Password field
2. Observe the characters shown</t>
  </si>
  <si>
    <t>Pass@1234</t>
  </si>
  <si>
    <t>Characters are shown as dots, never as plain text</t>
  </si>
  <si>
    <t>Result : Characters are not shown</t>
  </si>
  <si>
    <t>Security / UI</t>
  </si>
  <si>
    <t>TC_REG_021</t>
  </si>
  <si>
    <t>Same email registered in a different letter case</t>
  </si>
  <si>
    <t>An account already exists with joshiaavash111@gmail.com</t>
  </si>
  <si>
    <t>1. Register using JOSHIAAVASH111@GMAIL.COM
2. Fill every other field correctly
3. Click Signup</t>
  </si>
  <si>
    <t>JOSHIAAVASH111@GMAIL.COM</t>
  </si>
  <si>
    <t>Treated as the same email and rejected as a duplicate</t>
  </si>
  <si>
    <t xml:space="preserve">Message Displayed : Email is already used </t>
  </si>
  <si>
    <t>If this creates a second account, one person can hold two accounts on the same address</t>
  </si>
  <si>
    <t>TC_REG_022</t>
  </si>
  <si>
    <t>Double click on the Signup button</t>
  </si>
  <si>
    <t>The form is filled correctly</t>
  </si>
  <si>
    <t>1. Fill the form correctly
2. Double click Signup quickly
3. Check how many accounts were created</t>
  </si>
  <si>
    <t>valid registration data</t>
  </si>
  <si>
    <t>Only one account is created</t>
  </si>
  <si>
    <t xml:space="preserve">Result : Account created only once </t>
  </si>
  <si>
    <t>Negative / Data</t>
  </si>
  <si>
    <t>TC_REG_023</t>
  </si>
  <si>
    <t>Submit with Confirm Password empty</t>
  </si>
  <si>
    <t>1. Fill every field correctly
2. Leave Confirm Password blank
3. Select a role
4. Click Signup</t>
  </si>
  <si>
    <t>confirmPassword blank</t>
  </si>
  <si>
    <t>Registration is rejected with a message naming Confirm Password</t>
  </si>
  <si>
    <t xml:space="preserve">Result: Please enter confirm Password </t>
  </si>
  <si>
    <t>TC_REG_024</t>
  </si>
  <si>
    <t>Password at the minimum valid length</t>
  </si>
  <si>
    <t>1. Enter a password containing exactly the stated minimum number of characters
2. Meet all character rules
3. Complete and submit the form</t>
  </si>
  <si>
    <t>Ab@123</t>
  </si>
  <si>
    <t>Registration proceeds when all password rules are satisfied</t>
  </si>
  <si>
    <t>Message displayed: Password must be at lease 6 digits with at least one special character , one capital letter and must be one number.</t>
  </si>
  <si>
    <t>BVA (valid minimum)</t>
  </si>
  <si>
    <t>A password meeting the shown rules is rejected. Logged as D-05.</t>
  </si>
  <si>
    <t>TC_REG_025</t>
  </si>
  <si>
    <t>Password without an uppercase letter</t>
  </si>
  <si>
    <t>1. Enter test@123 in Password and Confirm Password
2. Complete and submit the form</t>
  </si>
  <si>
    <t>test@123</t>
  </si>
  <si>
    <t>Registration is rejected with a message requiring an uppercase letter</t>
  </si>
  <si>
    <t>A password without an uppercase letter is accepted. Logged as D-06.</t>
  </si>
  <si>
    <t>TC_REG_026</t>
  </si>
  <si>
    <t>Password without a number</t>
  </si>
  <si>
    <t>1. Enter Test@abc in Password and Confirm Password
2. Complete and submit the form</t>
  </si>
  <si>
    <t>Test@abc</t>
  </si>
  <si>
    <t>Registration is rejected with a message requiring a number</t>
  </si>
  <si>
    <t>TC_REG_027</t>
  </si>
  <si>
    <t>Password without a special character</t>
  </si>
  <si>
    <t>1. Enter Test1234 in Password and Confirm Password
2. Complete and submit the form</t>
  </si>
  <si>
    <t>Test1234</t>
  </si>
  <si>
    <t>Registration is rejected with a message requiring a special character</t>
  </si>
  <si>
    <t>TC_REG_028</t>
  </si>
  <si>
    <t>Register with a valid non-Gmail email</t>
  </si>
  <si>
    <t>Signup page is open and the email is not registered</t>
  </si>
  <si>
    <t>1. Enter a valid non-Gmail email
2. Fill every other field correctly
3. Select a role
4. Click Signup</t>
  </si>
  <si>
    <t>joshiaavash@outlook.com</t>
  </si>
  <si>
    <t>Registration succeeds because Outlook is a valid email provider</t>
  </si>
  <si>
    <t>Positive / EP</t>
  </si>
  <si>
    <t>A valid Outlook address is rejected because it is not Gmail. Logged as D-07.</t>
  </si>
  <si>
    <t>TEST CASES - EMAIL OTP VERIFICATION</t>
  </si>
  <si>
    <t>TC_OTP_001</t>
  </si>
  <si>
    <t>OTP</t>
  </si>
  <si>
    <t>Verify with the correct OTP</t>
  </si>
  <si>
    <t>Registration is complete and the OTP email has arrived</t>
  </si>
  <si>
    <t>1. Open the email and read the code
2. Enter the code on the OTP screen
3. Submit</t>
  </si>
  <si>
    <t>6-digit code received by the dedicated test account</t>
  </si>
  <si>
    <t>The email is verified and the user reaches their account</t>
  </si>
  <si>
    <t xml:space="preserve">Message displayed: OTP is correct, signing in. The login options appears </t>
  </si>
  <si>
    <t>TC_OTP_002</t>
  </si>
  <si>
    <t>Verify with a wrong OTP</t>
  </si>
  <si>
    <t>The OTP screen is open</t>
  </si>
  <si>
    <t>1. Enter a code that does not match
2. Submit
3. Observe whether the account opens</t>
  </si>
  <si>
    <t>an incorrect 6 digit code</t>
  </si>
  <si>
    <t>Verification fails and the account does not open</t>
  </si>
  <si>
    <t>Verification was rejected with a wrong OTP message and the account did not open</t>
  </si>
  <si>
    <t>TC_OTP_003</t>
  </si>
  <si>
    <t>Submit with the OTP field empty</t>
  </si>
  <si>
    <t>1. Leave the OTP field blank
2. Submit</t>
  </si>
  <si>
    <t>otp blank</t>
  </si>
  <si>
    <t>A validation message asking for the OTP</t>
  </si>
  <si>
    <t>Message displayed: please Enter the OTP</t>
  </si>
  <si>
    <t>TC_OTP_004</t>
  </si>
  <si>
    <t>Verify after the OTP has expired</t>
  </si>
  <si>
    <t>An OTP was generated more than the validity period ago</t>
  </si>
  <si>
    <t>1. Register and note the time
2. Wait past the stated expiry
3. Enter the correct code and submit</t>
  </si>
  <si>
    <t>the correct code after expiry</t>
  </si>
  <si>
    <t>Rejected with an expiry message</t>
  </si>
  <si>
    <t>Message displayed: OTP is expired click to resent it</t>
  </si>
  <si>
    <t>BVA (time)</t>
  </si>
  <si>
    <t>Check the email text for the stated validity period and test just before and just after it</t>
  </si>
  <si>
    <t>TC_OTP_005</t>
  </si>
  <si>
    <t>Reuse an OTP that was already used</t>
  </si>
  <si>
    <t>The OTP was verified successfully once</t>
  </si>
  <si>
    <t>1. Verify once successfully
2. Log out
3. Try the same code again</t>
  </si>
  <si>
    <t>the same code twice</t>
  </si>
  <si>
    <t>The second attempt is rejected</t>
  </si>
  <si>
    <t>Message displayed: Wrong OTP</t>
  </si>
  <si>
    <t>Negative / Security</t>
  </si>
  <si>
    <t>TC_OTP_006</t>
  </si>
  <si>
    <t>Repeated wrong OTP attempts</t>
  </si>
  <si>
    <t>1. Enter a wrong code
2. Repeat at least 20 times
3. Check whether attempts are ever blocked</t>
  </si>
  <si>
    <t>wrong code entered repeatedly</t>
  </si>
  <si>
    <t>Attempts are limited or the account is temporarily locked</t>
  </si>
  <si>
    <t xml:space="preserve">Result : Account is not locked </t>
  </si>
  <si>
    <t>Security</t>
  </si>
  <si>
    <t>Wrong OTP attempts are not limited. Logged as D-08.</t>
  </si>
  <si>
    <t>TC_OTP_007</t>
  </si>
  <si>
    <t>Resend the OTP</t>
  </si>
  <si>
    <t>The OTP screen is open and no email arrived</t>
  </si>
  <si>
    <t>1. Look for a resend option
2. If present, use it and check that a new code arrives</t>
  </si>
  <si>
    <t>-</t>
  </si>
  <si>
    <t>A resend option exists and delivers a fresh code</t>
  </si>
  <si>
    <t>Result : New otp is sent to mail</t>
  </si>
  <si>
    <t>UX</t>
  </si>
  <si>
    <t>TC_OTP_008</t>
  </si>
  <si>
    <t>Refresh the page on the OTP screen</t>
  </si>
  <si>
    <t>1. Refresh the browser
2. Try to enter the code and submit</t>
  </si>
  <si>
    <t>browser refresh</t>
  </si>
  <si>
    <t>The user can still complete verification</t>
  </si>
  <si>
    <t xml:space="preserve">Result : The verification is completed </t>
  </si>
  <si>
    <t>TC_OTP_009</t>
  </si>
  <si>
    <t>Login before the email is verified</t>
  </si>
  <si>
    <t>An account was registered but the OTP was never entered</t>
  </si>
  <si>
    <t>1. Register a new account
2. Leave the OTP screen without verifying
3. Try to log in with those credentials</t>
  </si>
  <si>
    <t>unverified account</t>
  </si>
  <si>
    <t>Login is blocked until the email is verified</t>
  </si>
  <si>
    <t>Message displayed: The account doesnot exists</t>
  </si>
  <si>
    <t>Login is blocked as expected, but the message is unclear and should be reviewed separately.</t>
  </si>
  <si>
    <t>TC_OTP_010</t>
  </si>
  <si>
    <t>Submit a 5-digit OTP</t>
  </si>
  <si>
    <t>OTP screen is open</t>
  </si>
  <si>
    <t>1. Enter a 5-digit code
2. Submit</t>
  </si>
  <si>
    <t>12345</t>
  </si>
  <si>
    <t>Verification cannot proceed until all 6 digits are entered</t>
  </si>
  <si>
    <t>The field waits for all 6 digits before allowing verification</t>
  </si>
  <si>
    <t>BVA (below length)</t>
  </si>
  <si>
    <t>TC_OTP_011</t>
  </si>
  <si>
    <t>Submit a 7-digit OTP</t>
  </si>
  <si>
    <t>1. Enter a 7-digit code
2. Submit</t>
  </si>
  <si>
    <t>1234567</t>
  </si>
  <si>
    <t>The field limits input to 6 digits or rejects a longer code</t>
  </si>
  <si>
    <t>The field accepts a maximum of 6 digits; a seventh digit cannot be entered</t>
  </si>
  <si>
    <t>BVA (above length)</t>
  </si>
  <si>
    <t>TC_OTP_012</t>
  </si>
  <si>
    <t>Enter letters in the OTP field</t>
  </si>
  <si>
    <t>1. Enter letters in the OTP field
2. Submit</t>
  </si>
  <si>
    <t>ABCDEF</t>
  </si>
  <si>
    <t>Letters are blocked or submission is rejected with a numeric-code message</t>
  </si>
  <si>
    <t>Letters are not accepted; the field accepts numbers only</t>
  </si>
  <si>
    <t>TC_OTP_013</t>
  </si>
  <si>
    <t>Verify a valid OTP beginning with zero</t>
  </si>
  <si>
    <t>A valid code beginning with zero has been issued</t>
  </si>
  <si>
    <t>1. Enter the complete code including the leading zero
2. Submit</t>
  </si>
  <si>
    <t>0xxxxx</t>
  </si>
  <si>
    <t>The leading zero is preserved and verification succeeds</t>
  </si>
  <si>
    <t>Result : Not accept other then numbers</t>
  </si>
  <si>
    <t>BVA / Data</t>
  </si>
  <si>
    <t>The recorded result does not test whether a leading zero is preserved. Retest with a valid OTP beginning with 0.</t>
  </si>
  <si>
    <t>TC_OTP_014</t>
  </si>
  <si>
    <t>Use the previous OTP after requesting resend</t>
  </si>
  <si>
    <t>A second OTP has been requested</t>
  </si>
  <si>
    <t>1. Request a new OTP
2. Enter the previous OTP
3. Submit</t>
  </si>
  <si>
    <t>previous OTP</t>
  </si>
  <si>
    <t>The previous OTP is invalidated and rejected</t>
  </si>
  <si>
    <t>TC_OTP_015</t>
  </si>
  <si>
    <t>Request OTP resend repeatedly</t>
  </si>
  <si>
    <t>1. Select Resend repeatedly
2. Observe whether requests are delayed or limited</t>
  </si>
  <si>
    <t>multiple resend requests</t>
  </si>
  <si>
    <t>OTP resend is rate-limited by a visible cooldown period</t>
  </si>
  <si>
    <t>A new OTP can be requested after a 2-minute cooldown</t>
  </si>
  <si>
    <t>Security / Negative</t>
  </si>
  <si>
    <t>TEST CASES - USER LOGIN (Login screen)</t>
  </si>
  <si>
    <t>TC_LOGIN_001</t>
  </si>
  <si>
    <t>Login with valid credentials</t>
  </si>
  <si>
    <t>A verified account exists and the Login page is open</t>
  </si>
  <si>
    <t>1. Enter the registered email
2. Enter the correct password
3. Click Login</t>
  </si>
  <si>
    <t>joshiaavash111@gmail.com / valid password</t>
  </si>
  <si>
    <t>Login succeeds and the user reaches the correct account page</t>
  </si>
  <si>
    <t>Message Displayed : Login Successful</t>
  </si>
  <si>
    <t>TC_LOGIN_002</t>
  </si>
  <si>
    <t>Login page is open</t>
  </si>
  <si>
    <t>1. Leave Email blank
2. Enter a valid password
3. Click Login</t>
  </si>
  <si>
    <t>email blank / valid password</t>
  </si>
  <si>
    <t>Login is blocked and a validation message identifies the Email field</t>
  </si>
  <si>
    <t>Message Displayed : Please Enter Email ID</t>
  </si>
  <si>
    <t>TC_LOGIN_003</t>
  </si>
  <si>
    <t>1. Enter a registered email
2. Leave Password blank
3. Click Login</t>
  </si>
  <si>
    <t>joshiaavash111@gmail.com / password blank</t>
  </si>
  <si>
    <t>Login is blocked and a validation message identifies the Password field</t>
  </si>
  <si>
    <t>Message Displayed : Please Enter Password</t>
  </si>
  <si>
    <t>TC_LOGIN_004</t>
  </si>
  <si>
    <t>Submit with Email and Password empty</t>
  </si>
  <si>
    <t>1. Leave both fields blank
2. Click Login</t>
  </si>
  <si>
    <t>email blank / password blank</t>
  </si>
  <si>
    <t>Login is blocked and validation messages identify all required fields</t>
  </si>
  <si>
    <t>Message Displayed : Please Enter Email ID and Password</t>
  </si>
  <si>
    <t>TC_LOGIN_005</t>
  </si>
  <si>
    <t>Login with an invalid email format</t>
  </si>
  <si>
    <t>1. Enter an incorrectly formatted email
2. Enter any password
3. Click Login</t>
  </si>
  <si>
    <t>joshiaavash111@ / valid password</t>
  </si>
  <si>
    <t>Login is blocked and an invalid-email message is displayed</t>
  </si>
  <si>
    <t>Message Displayed : Please Enter valid Email ID</t>
  </si>
  <si>
    <t>TC_LOGIN_006</t>
  </si>
  <si>
    <t>Login with an unregistered email</t>
  </si>
  <si>
    <t>1. Enter an unregistered email
2. Enter a valid-format password
3. Click Login</t>
  </si>
  <si>
    <t>unregistered.user@gmail.com / valid password</t>
  </si>
  <si>
    <t>Login is rejected without revealing sensitive account-registration details</t>
  </si>
  <si>
    <t>The generic response avoids confirming whether an account exists, although its wording could be clearer.</t>
  </si>
  <si>
    <t>TC_LOGIN_007</t>
  </si>
  <si>
    <t>Login with an incorrect password</t>
  </si>
  <si>
    <t>1. Enter the registered email
2. Enter an incorrect password
3. Click Login</t>
  </si>
  <si>
    <t>joshiaavash111@gmail.com / incorrect password</t>
  </si>
  <si>
    <t>Login is rejected and the account page does not open</t>
  </si>
  <si>
    <t>Message Displayed : Please Enter valid Password</t>
  </si>
  <si>
    <t>TC_LOGIN_008</t>
  </si>
  <si>
    <t>Verify password case sensitivity</t>
  </si>
  <si>
    <t>1. Enter the registered email
2. Change the letter case of the correct password
3. Click Login</t>
  </si>
  <si>
    <t>joshiaavash111@gmail.com / password with changed case</t>
  </si>
  <si>
    <t>Login is rejected because passwords are case-sensitive</t>
  </si>
  <si>
    <t>TC_LOGIN_009</t>
  </si>
  <si>
    <t>Login using uppercase email letters</t>
  </si>
  <si>
    <t>A verified account exists with joshiaavash111@gmail.com</t>
  </si>
  <si>
    <t>1. Enter JOSHIAAVASH111@GMAIL.COM
2. Enter the correct password
3. Click Login</t>
  </si>
  <si>
    <t>JOSHIAAVASH111@GMAIL.COM / valid password</t>
  </si>
  <si>
    <t>The email is treated case-insensitively and login succeeds</t>
  </si>
  <si>
    <t>The registered email is rejected when entered in uppercase, although email matching should be case-insensitive. Logged as D-09.</t>
  </si>
  <si>
    <t>TC_LOGIN_010</t>
  </si>
  <si>
    <t>Login with spaces around the email</t>
  </si>
  <si>
    <t>1. Enter spaces before and after the registered email
2. Enter the correct password
3. Click Login</t>
  </si>
  <si>
    <t>'  joshiaavash111@gmail.com  ' / valid password</t>
  </si>
  <si>
    <t>Spaces are trimmed and login succeeds</t>
  </si>
  <si>
    <t>TC_LOGIN_011</t>
  </si>
  <si>
    <t>Login before email verification</t>
  </si>
  <si>
    <t>An account is registered but its OTP has not been verified</t>
  </si>
  <si>
    <t>1. Enter the unverified account email
2. Enter its correct password
3. Click Login</t>
  </si>
  <si>
    <t>unverified account credentials</t>
  </si>
  <si>
    <t>Login is blocked until email verification is completed</t>
  </si>
  <si>
    <t>Access is blocked as expected, but the message should explain that email verification is required.</t>
  </si>
  <si>
    <t>TC_LOGIN_012</t>
  </si>
  <si>
    <t>Submit repeated incorrect passwords</t>
  </si>
  <si>
    <t>1. Enter the registered email
2. Submit an incorrect password repeatedly
3. Observe throttling or temporary lock behaviour</t>
  </si>
  <si>
    <t>20 repeated incorrect passwords</t>
  </si>
  <si>
    <t>Repeated attempts are rate-limited or temporarily blocked with clear feedback</t>
  </si>
  <si>
    <t xml:space="preserve">Result : Account is not blocked </t>
  </si>
  <si>
    <t>Repeated incorrect-password attempts do not trigger throttling or a temporary lock. Logged as D-10.</t>
  </si>
  <si>
    <t>TC_LOGIN_013</t>
  </si>
  <si>
    <t>Enter an SQL-injection-style value</t>
  </si>
  <si>
    <t>1. Enter the test string in Email or Password
2. Click Login
3. Observe the response</t>
  </si>
  <si>
    <t>' OR '1'='1</t>
  </si>
  <si>
    <t>Input is handled safely, login is rejected and no technical error is exposed</t>
  </si>
  <si>
    <t>TC_LOGIN_014</t>
  </si>
  <si>
    <t>Enter an XSS-style value</t>
  </si>
  <si>
    <t>1. Enter the test string in Email
2. Enter any password
3. Click Login
4. Observe the page</t>
  </si>
  <si>
    <t>&lt;script&gt;alert(1)&lt;/script&gt;</t>
  </si>
  <si>
    <t>The value is treated as text, no script runs and login is rejected</t>
  </si>
  <si>
    <t>TC_LOGIN_015</t>
  </si>
  <si>
    <t>Double-click the Login button</t>
  </si>
  <si>
    <t>Valid credentials are entered</t>
  </si>
  <si>
    <t>1. Enter valid credentials
2. Double-click Login quickly
3. Observe navigation and requests</t>
  </si>
  <si>
    <t>Only one login request/session is processed and navigation occurs once</t>
  </si>
  <si>
    <t xml:space="preserve">Message Displayed : Login Successful  Result : only one login session occurs  </t>
  </si>
  <si>
    <t>DEFECT LOG - AUTH MODULE</t>
  </si>
  <si>
    <t>Defect ID</t>
  </si>
  <si>
    <t>Test Case</t>
  </si>
  <si>
    <t>Actual Behaviour</t>
  </si>
  <si>
    <t>Why It Matters</t>
  </si>
  <si>
    <t>D-01</t>
  </si>
  <si>
    <t>Full Name field accepts digits</t>
  </si>
  <si>
    <t>Registration succeeds with the name Aavash123.</t>
  </si>
  <si>
    <t>Invalid names may be saved and shown on job applications.</t>
  </si>
  <si>
    <t>D-02</t>
  </si>
  <si>
    <t>Mobile numbers beginning with 97 are rejected</t>
  </si>
  <si>
    <t>Registration is blocked for the valid Nepali mobile number 9741234567.</t>
  </si>
  <si>
    <t>Users with valid 97 mobile numbers cannot create an account.</t>
  </si>
  <si>
    <t>D-03</t>
  </si>
  <si>
    <t>Full Name field accepts unsupported symbols</t>
  </si>
  <si>
    <t>Registration succeeds with unsupported symbols in the name: aavash@#$.</t>
  </si>
  <si>
    <t>Invalid symbols may be saved in the user's name.</t>
  </si>
  <si>
    <t>D-04</t>
  </si>
  <si>
    <t>Valid minimum-length password is rejected</t>
  </si>
  <si>
    <t>A 6-character password that meets the displayed character rules is rejected.</t>
  </si>
  <si>
    <t>Users may be unable to register even when their password follows the shown rules.</t>
  </si>
  <si>
    <t>D-05</t>
  </si>
  <si>
    <t>Password without an uppercase letter is accepted</t>
  </si>
  <si>
    <t>Registration succeeds with test@123 even though it has no uppercase letter.</t>
  </si>
  <si>
    <t>Weak passwords can be accepted, reducing account security.</t>
  </si>
  <si>
    <t>D-06</t>
  </si>
  <si>
    <t>Valid non-Gmail email addresses are rejected</t>
  </si>
  <si>
    <t>A valid Outlook email is rejected because the address does not end with @gmail.com.</t>
  </si>
  <si>
    <t>Users with valid Outlook or Yahoo emails cannot register.</t>
  </si>
  <si>
    <t>D-07</t>
  </si>
  <si>
    <t>No limit on wrong OTP attempts</t>
  </si>
  <si>
    <t>A wrong OTP can be submitted repeatedly without a lock or attempt limit.</t>
  </si>
  <si>
    <t>Attackers can keep guessing OTPs without restriction.</t>
  </si>
  <si>
    <t>D-08</t>
  </si>
  <si>
    <t>Login rejects uppercase form of a registered email</t>
  </si>
  <si>
    <t>The registered Gmail address is rejected when entered in uppercase letters.</t>
  </si>
  <si>
    <t>A valid user may be unable to log in because of email letter case.</t>
  </si>
  <si>
    <t>D-09</t>
  </si>
  <si>
    <t>No limit on repeated incorrect-password attempts</t>
  </si>
  <si>
    <t>Repeated wrong passwords do not trigger throttling or a temporary lock.</t>
  </si>
  <si>
    <t>Attackers can keep guessing passwords without restriction.</t>
  </si>
  <si>
    <t>TEST EXECUTION SUMMARY</t>
  </si>
  <si>
    <t>Metric</t>
  </si>
  <si>
    <t>Total</t>
  </si>
  <si>
    <t>Total test cases</t>
  </si>
  <si>
    <t>Executed so far</t>
  </si>
  <si>
    <t>Pass rate (of executed)</t>
  </si>
  <si>
    <t>DEFECTS FOUND</t>
  </si>
  <si>
    <t>DEFECTS BY SEVERITY</t>
  </si>
  <si>
    <t>Count</t>
  </si>
  <si>
    <t>Defect IDs</t>
  </si>
  <si>
    <t>D-01, D-03, D-04, D-05, D-06, D-07, D-09</t>
  </si>
  <si>
    <t>KEY FINDINGS</t>
  </si>
  <si>
    <t>High-priority issues: wrong OTP attempts (D-08) and wrong-password attempts (D-10) have no limit. Registration defects are listed first, followed by OTP and Login defects.</t>
  </si>
  <si>
    <t>D-07, D-09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</si>
</sst>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%"/>
  </numFmts>
  <fonts count="22">
    <font>
      <sz val="11"/>
      <color theme="1"/>
      <name val="Calibri"/>
      <charset val="134"/>
    </font>
    <font>
      <b/>
      <sz val="15"/>
      <color rgb="FF1F4E79"/>
      <name val="Arial"/>
      <charset val="134"/>
    </font>
    <font>
      <i/>
      <sz val="9"/>
      <color rgb="FF808080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1F1F1F"/>
      <name val="Arial"/>
      <charset val="134"/>
    </font>
    <font>
      <b/>
      <sz val="13"/>
      <color rgb="FF1F4E79"/>
      <name val="Arial"/>
      <charset val="134"/>
    </font>
    <font>
      <sz val="10"/>
      <color rgb="FFFFFFFF"/>
      <name val="Arial"/>
      <charset val="134"/>
    </font>
    <font>
      <b/>
      <sz val="10"/>
      <color rgb="FF1F1F1F"/>
      <name val="Arial"/>
      <charset val="134"/>
    </font>
    <font>
      <b/>
      <sz val="14"/>
      <color rgb="FF1F4E78"/>
      <name val="Arial"/>
      <charset val="134"/>
    </font>
    <font>
      <i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1"/>
      <color theme="1"/>
      <name val="Calibri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1"/>
      <color theme="10"/>
      <name val="Calibri"/>
      <charset val="134"/>
    </font>
    <font>
      <sz val="10"/>
      <color theme="1"/>
      <name val="Calibri"/>
      <charset val="134"/>
    </font>
    <font>
      <b/>
      <sz val="11"/>
      <color rgb="FF1F1F1F"/>
      <name val="Arial"/>
      <charset val="134"/>
    </font>
    <font>
      <b/>
      <sz val="10"/>
      <color theme="0"/>
      <name val="Arial"/>
      <family val="2"/>
    </font>
    <font>
      <sz val="10"/>
      <color rgb="FF1F1F1F"/>
      <name val="Arial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9C0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893185216834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/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6" fillId="0" borderId="0"/>
  </cellStyleXfs>
  <cellXfs count="8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/>
    <xf numFmtId="166" fontId="5" fillId="0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 wrapText="1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vertical="top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NumberFormat="1" applyFont="1" applyFill="1" applyBorder="1" applyAlignment="1"/>
    <xf numFmtId="0" fontId="6" fillId="0" borderId="0" xfId="0" applyNumberFormat="1" applyFont="1" applyFill="1" applyBorder="1"/>
    <xf numFmtId="0" fontId="11" fillId="0" borderId="0" xfId="0" applyNumberFormat="1" applyFont="1" applyFill="1" applyBorder="1" applyAlignment="1"/>
    <xf numFmtId="0" fontId="3" fillId="2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vertical="top" wrapText="1"/>
    </xf>
    <xf numFmtId="0" fontId="9" fillId="7" borderId="9" xfId="0" applyNumberFormat="1" applyFont="1" applyFill="1" applyBorder="1" applyAlignment="1">
      <alignment horizontal="center" vertical="center" wrapText="1"/>
    </xf>
    <xf numFmtId="0" fontId="6" fillId="8" borderId="9" xfId="0" applyNumberFormat="1" applyFont="1" applyFill="1" applyBorder="1" applyAlignment="1">
      <alignment vertical="top" wrapText="1"/>
    </xf>
    <xf numFmtId="0" fontId="12" fillId="9" borderId="9" xfId="0" applyNumberFormat="1" applyFont="1" applyFill="1" applyBorder="1" applyAlignment="1">
      <alignment horizontal="center" vertical="center" wrapText="1"/>
    </xf>
    <xf numFmtId="0" fontId="9" fillId="4" borderId="9" xfId="0" applyNumberFormat="1" applyFont="1" applyFill="1" applyBorder="1" applyAlignment="1">
      <alignment horizontal="center" vertical="center" wrapText="1"/>
    </xf>
    <xf numFmtId="0" fontId="9" fillId="5" borderId="9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vertical="top" wrapText="1"/>
    </xf>
    <xf numFmtId="0" fontId="12" fillId="9" borderId="1" xfId="0" applyNumberFormat="1" applyFont="1" applyFill="1" applyBorder="1" applyAlignment="1">
      <alignment horizontal="center" vertical="center" wrapText="1"/>
    </xf>
    <xf numFmtId="0" fontId="16" fillId="0" borderId="10" xfId="1" applyBorder="1" applyAlignment="1">
      <alignment vertical="center"/>
    </xf>
    <xf numFmtId="0" fontId="17" fillId="0" borderId="10" xfId="0" applyFont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3" borderId="15" xfId="0" applyNumberFormat="1" applyFont="1" applyFill="1" applyBorder="1" applyAlignment="1">
      <alignment vertical="top" wrapText="1"/>
    </xf>
    <xf numFmtId="0" fontId="4" fillId="0" borderId="15" xfId="0" applyNumberFormat="1" applyFont="1" applyFill="1" applyBorder="1" applyAlignment="1">
      <alignment vertical="top" wrapText="1"/>
    </xf>
    <xf numFmtId="0" fontId="5" fillId="0" borderId="15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18" fillId="15" borderId="11" xfId="0" applyNumberFormat="1" applyFont="1" applyFill="1" applyBorder="1" applyAlignment="1">
      <alignment horizontal="center" vertical="center"/>
    </xf>
    <xf numFmtId="0" fontId="18" fillId="15" borderId="12" xfId="0" applyNumberFormat="1" applyFont="1" applyFill="1" applyBorder="1" applyAlignment="1">
      <alignment horizontal="center" vertical="center"/>
    </xf>
    <xf numFmtId="0" fontId="9" fillId="16" borderId="13" xfId="0" applyNumberFormat="1" applyFont="1" applyFill="1" applyBorder="1" applyAlignment="1">
      <alignment horizontal="left" vertical="center" wrapText="1"/>
    </xf>
    <xf numFmtId="0" fontId="9" fillId="16" borderId="14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2" borderId="0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0" fontId="6" fillId="0" borderId="7" xfId="0" applyNumberFormat="1" applyFont="1" applyFill="1" applyBorder="1" applyAlignment="1">
      <alignment vertical="center" wrapText="1"/>
    </xf>
    <xf numFmtId="0" fontId="19" fillId="6" borderId="0" xfId="0" applyNumberFormat="1" applyFont="1" applyFill="1" applyBorder="1" applyAlignment="1">
      <alignment vertical="center"/>
    </xf>
    <xf numFmtId="0" fontId="3" fillId="2" borderId="16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vertical="center" wrapText="1"/>
    </xf>
    <xf numFmtId="0" fontId="21" fillId="0" borderId="1" xfId="0" applyNumberFormat="1" applyFont="1" applyFill="1" applyBorder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7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AD3"/>
      <rgbColor rgb="00FCE4D6"/>
      <rgbColor rgb="0099CCFF"/>
      <rgbColor rgb="00FF99CC"/>
      <rgbColor rgb="00CC99FF"/>
      <rgbColor rgb="00F4C7C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4E79"/>
      <rgbColor rgb="00339966"/>
      <rgbColor rgb="00003300"/>
      <rgbColor rgb="00333300"/>
      <rgbColor rgb="00993300"/>
      <rgbColor rgb="00993366"/>
      <rgbColor rgb="001F497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shiaavash@outlook.com" TargetMode="External"/><Relationship Id="rId1" Type="http://schemas.openxmlformats.org/officeDocument/2006/relationships/hyperlink" Target="mailto:JOSHIAAVASH111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B2:C35"/>
  <sheetViews>
    <sheetView showGridLines="0" topLeftCell="A14" workbookViewId="0"/>
  </sheetViews>
  <sheetFormatPr defaultColWidth="8.6640625" defaultRowHeight="14.4"/>
  <cols>
    <col min="1" max="1" width="3" customWidth="1"/>
    <col min="2" max="2" width="20" customWidth="1"/>
    <col min="3" max="3" width="105" customWidth="1"/>
  </cols>
  <sheetData>
    <row r="2" spans="2:3" ht="18.75" customHeight="1">
      <c r="B2" s="1" t="s">
        <v>0</v>
      </c>
      <c r="C2" s="1"/>
    </row>
    <row r="3" spans="2:3" ht="24" customHeight="1">
      <c r="B3" s="66" t="s">
        <v>1</v>
      </c>
      <c r="C3" s="67"/>
    </row>
    <row r="4" spans="2:3" ht="31.95" customHeight="1">
      <c r="B4" s="68" t="s">
        <v>2</v>
      </c>
      <c r="C4" s="69"/>
    </row>
    <row r="5" spans="2:3">
      <c r="B5" s="56" t="s">
        <v>3</v>
      </c>
      <c r="C5" s="57" t="s">
        <v>4</v>
      </c>
    </row>
    <row r="6" spans="2:3" ht="26.25" customHeight="1">
      <c r="B6" s="58" t="s">
        <v>5</v>
      </c>
      <c r="C6" s="42" t="s">
        <v>6</v>
      </c>
    </row>
    <row r="7" spans="2:3" ht="26.25" customHeight="1">
      <c r="B7" s="58" t="s">
        <v>7</v>
      </c>
      <c r="C7" s="42" t="s">
        <v>8</v>
      </c>
    </row>
    <row r="8" spans="2:3" ht="26.4">
      <c r="B8" s="58" t="s">
        <v>9</v>
      </c>
      <c r="C8" s="42" t="s">
        <v>10</v>
      </c>
    </row>
    <row r="9" spans="2:3">
      <c r="B9" s="59"/>
      <c r="C9" s="60"/>
    </row>
    <row r="10" spans="2:3">
      <c r="B10" s="56" t="s">
        <v>11</v>
      </c>
      <c r="C10" s="57" t="s">
        <v>12</v>
      </c>
    </row>
    <row r="11" spans="2:3">
      <c r="B11" s="58" t="s">
        <v>13</v>
      </c>
      <c r="C11" s="42" t="s">
        <v>14</v>
      </c>
    </row>
    <row r="12" spans="2:3">
      <c r="B12" s="58" t="s">
        <v>15</v>
      </c>
      <c r="C12" s="42" t="s">
        <v>16</v>
      </c>
    </row>
    <row r="13" spans="2:3">
      <c r="B13" s="58" t="s">
        <v>17</v>
      </c>
      <c r="C13" s="42" t="s">
        <v>18</v>
      </c>
    </row>
    <row r="14" spans="2:3">
      <c r="B14" s="58" t="s">
        <v>19</v>
      </c>
      <c r="C14" s="42" t="s">
        <v>20</v>
      </c>
    </row>
    <row r="15" spans="2:3">
      <c r="B15" s="59"/>
      <c r="C15" s="60"/>
    </row>
    <row r="16" spans="2:3">
      <c r="B16" s="56" t="s">
        <v>21</v>
      </c>
      <c r="C16" s="57" t="s">
        <v>22</v>
      </c>
    </row>
    <row r="17" spans="2:3">
      <c r="B17" s="58" t="s">
        <v>23</v>
      </c>
      <c r="C17" s="42" t="s">
        <v>24</v>
      </c>
    </row>
    <row r="18" spans="2:3">
      <c r="B18" s="58" t="s">
        <v>25</v>
      </c>
      <c r="C18" s="42" t="s">
        <v>26</v>
      </c>
    </row>
    <row r="19" spans="2:3">
      <c r="B19" s="58" t="s">
        <v>27</v>
      </c>
      <c r="C19" s="42" t="s">
        <v>28</v>
      </c>
    </row>
    <row r="20" spans="2:3">
      <c r="B20" s="58" t="s">
        <v>29</v>
      </c>
      <c r="C20" s="42" t="s">
        <v>30</v>
      </c>
    </row>
    <row r="21" spans="2:3">
      <c r="B21" s="58" t="s">
        <v>31</v>
      </c>
      <c r="C21" s="42" t="s">
        <v>32</v>
      </c>
    </row>
    <row r="22" spans="2:3">
      <c r="B22" s="58" t="s">
        <v>33</v>
      </c>
      <c r="C22" s="42" t="s">
        <v>34</v>
      </c>
    </row>
    <row r="23" spans="2:3">
      <c r="B23" s="58" t="s">
        <v>35</v>
      </c>
      <c r="C23" s="42" t="s">
        <v>36</v>
      </c>
    </row>
    <row r="25" spans="2:3">
      <c r="B25" s="61" t="s">
        <v>37</v>
      </c>
      <c r="C25" s="61" t="s">
        <v>38</v>
      </c>
    </row>
    <row r="26" spans="2:3">
      <c r="B26" s="62" t="s">
        <v>39</v>
      </c>
      <c r="C26" s="63" t="s">
        <v>40</v>
      </c>
    </row>
    <row r="27" spans="2:3">
      <c r="B27" s="62" t="s">
        <v>41</v>
      </c>
      <c r="C27" s="63" t="s">
        <v>42</v>
      </c>
    </row>
    <row r="28" spans="2:3">
      <c r="B28" s="62" t="s">
        <v>43</v>
      </c>
      <c r="C28" s="63" t="s">
        <v>44</v>
      </c>
    </row>
    <row r="29" spans="2:3">
      <c r="B29" s="62" t="s">
        <v>45</v>
      </c>
      <c r="C29" s="63" t="s">
        <v>46</v>
      </c>
    </row>
    <row r="30" spans="2:3" ht="26.4">
      <c r="B30" s="62" t="s">
        <v>47</v>
      </c>
      <c r="C30" s="63" t="s">
        <v>48</v>
      </c>
    </row>
    <row r="31" spans="2:3">
      <c r="B31" s="64"/>
      <c r="C31" s="65"/>
    </row>
    <row r="32" spans="2:3">
      <c r="B32" s="56" t="s">
        <v>49</v>
      </c>
      <c r="C32" s="56" t="s">
        <v>50</v>
      </c>
    </row>
    <row r="33" spans="2:3">
      <c r="B33" s="58" t="s">
        <v>51</v>
      </c>
      <c r="C33" s="42" t="s">
        <v>52</v>
      </c>
    </row>
    <row r="34" spans="2:3">
      <c r="B34" s="58" t="s">
        <v>53</v>
      </c>
      <c r="C34" s="42" t="s">
        <v>54</v>
      </c>
    </row>
    <row r="35" spans="2:3">
      <c r="B35" s="58" t="s">
        <v>55</v>
      </c>
      <c r="C35" s="42" t="s">
        <v>56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L32"/>
  <sheetViews>
    <sheetView showGridLines="0" workbookViewId="0">
      <pane ySplit="4" topLeftCell="A23" activePane="bottomLeft" state="frozen"/>
      <selection pane="bottomLeft" sqref="A1:E1"/>
    </sheetView>
  </sheetViews>
  <sheetFormatPr defaultColWidth="8.6640625" defaultRowHeight="14.4"/>
  <cols>
    <col min="1" max="1" width="12.109375" customWidth="1"/>
    <col min="2" max="2" width="11.6640625" customWidth="1"/>
    <col min="3" max="3" width="26.44140625" customWidth="1"/>
    <col min="4" max="4" width="22.33203125" customWidth="1"/>
    <col min="5" max="5" width="42.5546875" customWidth="1"/>
    <col min="6" max="6" width="26.77734375" customWidth="1"/>
    <col min="7" max="7" width="63.33203125" customWidth="1"/>
    <col min="8" max="8" width="39.6640625" customWidth="1"/>
    <col min="9" max="9" width="11.6640625" style="44" customWidth="1"/>
    <col min="10" max="10" width="8.109375" customWidth="1"/>
    <col min="11" max="11" width="15.21875" customWidth="1"/>
    <col min="12" max="12" width="42.6640625" customWidth="1"/>
  </cols>
  <sheetData>
    <row r="1" spans="1:12" ht="16.5" customHeight="1">
      <c r="A1" s="70" t="s">
        <v>57</v>
      </c>
      <c r="B1" s="70"/>
      <c r="C1" s="70"/>
      <c r="D1" s="70"/>
      <c r="E1" s="70"/>
    </row>
    <row r="2" spans="1:12">
      <c r="A2" s="71" t="s">
        <v>58</v>
      </c>
      <c r="B2" s="71"/>
      <c r="C2" s="71"/>
      <c r="D2" s="71"/>
      <c r="E2" s="71"/>
    </row>
    <row r="4" spans="1:12" ht="30" customHeight="1">
      <c r="A4" s="37" t="s">
        <v>59</v>
      </c>
      <c r="B4" s="37" t="s">
        <v>60</v>
      </c>
      <c r="C4" s="37" t="s">
        <v>61</v>
      </c>
      <c r="D4" s="37" t="s">
        <v>23</v>
      </c>
      <c r="E4" s="37" t="s">
        <v>25</v>
      </c>
      <c r="F4" s="37" t="s">
        <v>27</v>
      </c>
      <c r="G4" s="37" t="s">
        <v>29</v>
      </c>
      <c r="H4" s="37" t="s">
        <v>31</v>
      </c>
      <c r="I4" s="45" t="s">
        <v>62</v>
      </c>
      <c r="J4" s="37" t="s">
        <v>33</v>
      </c>
      <c r="K4" s="37" t="s">
        <v>35</v>
      </c>
      <c r="L4" s="37" t="s">
        <v>63</v>
      </c>
    </row>
    <row r="5" spans="1:12" ht="73.5" customHeight="1">
      <c r="A5" s="42" t="s">
        <v>64</v>
      </c>
      <c r="B5" s="42" t="s">
        <v>39</v>
      </c>
      <c r="C5" s="42" t="s">
        <v>65</v>
      </c>
      <c r="D5" s="42" t="s">
        <v>66</v>
      </c>
      <c r="E5" s="42" t="s">
        <v>67</v>
      </c>
      <c r="F5" s="42" t="s">
        <v>68</v>
      </c>
      <c r="G5" s="42" t="s">
        <v>69</v>
      </c>
      <c r="H5" s="42" t="s">
        <v>70</v>
      </c>
      <c r="I5" s="46" t="s">
        <v>13</v>
      </c>
      <c r="J5" s="42"/>
      <c r="K5" s="42" t="s">
        <v>71</v>
      </c>
      <c r="L5" s="42"/>
    </row>
    <row r="6" spans="1:12" ht="73.5" customHeight="1">
      <c r="A6" s="47" t="s">
        <v>72</v>
      </c>
      <c r="B6" s="47" t="s">
        <v>39</v>
      </c>
      <c r="C6" s="47" t="s">
        <v>73</v>
      </c>
      <c r="D6" s="47" t="s">
        <v>74</v>
      </c>
      <c r="E6" s="47" t="s">
        <v>75</v>
      </c>
      <c r="F6" s="47" t="s">
        <v>76</v>
      </c>
      <c r="G6" s="47" t="s">
        <v>77</v>
      </c>
      <c r="H6" s="47" t="s">
        <v>78</v>
      </c>
      <c r="I6" s="46" t="s">
        <v>13</v>
      </c>
      <c r="J6" s="47"/>
      <c r="K6" s="47" t="s">
        <v>79</v>
      </c>
      <c r="L6" s="47"/>
    </row>
    <row r="7" spans="1:12" ht="73.5" customHeight="1">
      <c r="A7" s="42" t="s">
        <v>80</v>
      </c>
      <c r="B7" s="42" t="s">
        <v>39</v>
      </c>
      <c r="C7" s="42" t="s">
        <v>81</v>
      </c>
      <c r="D7" s="42" t="s">
        <v>74</v>
      </c>
      <c r="E7" s="42" t="s">
        <v>82</v>
      </c>
      <c r="F7" s="42" t="s">
        <v>83</v>
      </c>
      <c r="G7" s="42" t="s">
        <v>84</v>
      </c>
      <c r="H7" s="42" t="s">
        <v>85</v>
      </c>
      <c r="I7" s="46" t="s">
        <v>13</v>
      </c>
      <c r="J7" s="42"/>
      <c r="K7" s="42" t="s">
        <v>79</v>
      </c>
      <c r="L7" s="42"/>
    </row>
    <row r="8" spans="1:12" ht="73.5" customHeight="1">
      <c r="A8" s="47" t="s">
        <v>86</v>
      </c>
      <c r="B8" s="47" t="s">
        <v>39</v>
      </c>
      <c r="C8" s="47" t="s">
        <v>87</v>
      </c>
      <c r="D8" s="47" t="s">
        <v>74</v>
      </c>
      <c r="E8" s="47" t="s">
        <v>88</v>
      </c>
      <c r="F8" s="47" t="s">
        <v>89</v>
      </c>
      <c r="G8" s="47" t="s">
        <v>90</v>
      </c>
      <c r="H8" s="47" t="s">
        <v>91</v>
      </c>
      <c r="I8" s="46" t="s">
        <v>13</v>
      </c>
      <c r="J8" s="47"/>
      <c r="K8" s="47" t="s">
        <v>79</v>
      </c>
      <c r="L8" s="47"/>
    </row>
    <row r="9" spans="1:12" ht="73.5" customHeight="1">
      <c r="A9" s="42" t="s">
        <v>92</v>
      </c>
      <c r="B9" s="42" t="s">
        <v>39</v>
      </c>
      <c r="C9" s="42" t="s">
        <v>93</v>
      </c>
      <c r="D9" s="42" t="s">
        <v>74</v>
      </c>
      <c r="E9" s="42" t="s">
        <v>94</v>
      </c>
      <c r="F9" s="42" t="s">
        <v>95</v>
      </c>
      <c r="G9" s="42" t="s">
        <v>96</v>
      </c>
      <c r="H9" s="42" t="s">
        <v>97</v>
      </c>
      <c r="I9" s="46" t="s">
        <v>13</v>
      </c>
      <c r="J9" s="42"/>
      <c r="K9" s="42" t="s">
        <v>79</v>
      </c>
      <c r="L9" s="42"/>
    </row>
    <row r="10" spans="1:12" ht="73.5" customHeight="1">
      <c r="A10" s="47" t="s">
        <v>98</v>
      </c>
      <c r="B10" s="47" t="s">
        <v>39</v>
      </c>
      <c r="C10" s="47" t="s">
        <v>99</v>
      </c>
      <c r="D10" s="47" t="s">
        <v>74</v>
      </c>
      <c r="E10" s="47" t="s">
        <v>100</v>
      </c>
      <c r="F10" s="47" t="s">
        <v>101</v>
      </c>
      <c r="G10" s="47" t="s">
        <v>102</v>
      </c>
      <c r="H10" s="47" t="s">
        <v>103</v>
      </c>
      <c r="I10" s="46" t="s">
        <v>13</v>
      </c>
      <c r="J10" s="47"/>
      <c r="K10" s="47" t="s">
        <v>79</v>
      </c>
      <c r="L10" s="47"/>
    </row>
    <row r="11" spans="1:12" ht="73.5" customHeight="1">
      <c r="A11" s="42" t="s">
        <v>104</v>
      </c>
      <c r="B11" s="42" t="s">
        <v>39</v>
      </c>
      <c r="C11" s="42" t="s">
        <v>105</v>
      </c>
      <c r="D11" s="42" t="s">
        <v>74</v>
      </c>
      <c r="E11" s="42" t="s">
        <v>106</v>
      </c>
      <c r="F11" s="42" t="s">
        <v>107</v>
      </c>
      <c r="G11" s="42" t="s">
        <v>108</v>
      </c>
      <c r="H11" s="48" t="s">
        <v>109</v>
      </c>
      <c r="I11" s="49" t="s">
        <v>15</v>
      </c>
      <c r="J11" s="50" t="s">
        <v>53</v>
      </c>
      <c r="K11" s="42" t="s">
        <v>79</v>
      </c>
      <c r="L11" s="42" t="s">
        <v>110</v>
      </c>
    </row>
    <row r="12" spans="1:12" ht="73.5" customHeight="1">
      <c r="A12" s="47" t="s">
        <v>111</v>
      </c>
      <c r="B12" s="47" t="s">
        <v>39</v>
      </c>
      <c r="C12" s="47" t="s">
        <v>112</v>
      </c>
      <c r="D12" s="47" t="s">
        <v>74</v>
      </c>
      <c r="E12" s="47" t="s">
        <v>113</v>
      </c>
      <c r="F12" s="47" t="s">
        <v>114</v>
      </c>
      <c r="G12" s="47" t="s">
        <v>115</v>
      </c>
      <c r="H12" s="47" t="s">
        <v>116</v>
      </c>
      <c r="I12" s="46" t="s">
        <v>13</v>
      </c>
      <c r="J12" s="47"/>
      <c r="K12" s="47" t="s">
        <v>117</v>
      </c>
      <c r="L12" s="47"/>
    </row>
    <row r="13" spans="1:12" ht="73.5" customHeight="1">
      <c r="A13" s="42" t="s">
        <v>118</v>
      </c>
      <c r="B13" s="42" t="s">
        <v>39</v>
      </c>
      <c r="C13" s="42" t="s">
        <v>119</v>
      </c>
      <c r="D13" s="42" t="s">
        <v>74</v>
      </c>
      <c r="E13" s="42" t="s">
        <v>120</v>
      </c>
      <c r="F13" s="42" t="s">
        <v>121</v>
      </c>
      <c r="G13" s="42" t="s">
        <v>122</v>
      </c>
      <c r="H13" s="42" t="s">
        <v>123</v>
      </c>
      <c r="I13" s="46" t="s">
        <v>13</v>
      </c>
      <c r="J13" s="42"/>
      <c r="K13" s="42" t="s">
        <v>124</v>
      </c>
      <c r="L13" s="42"/>
    </row>
    <row r="14" spans="1:12" ht="73.5" customHeight="1">
      <c r="A14" s="47" t="s">
        <v>125</v>
      </c>
      <c r="B14" s="47" t="s">
        <v>39</v>
      </c>
      <c r="C14" s="47" t="s">
        <v>126</v>
      </c>
      <c r="D14" s="47" t="s">
        <v>74</v>
      </c>
      <c r="E14" s="47" t="s">
        <v>127</v>
      </c>
      <c r="F14" s="47" t="s">
        <v>128</v>
      </c>
      <c r="G14" s="47" t="s">
        <v>129</v>
      </c>
      <c r="H14" s="47" t="s">
        <v>130</v>
      </c>
      <c r="I14" s="46" t="s">
        <v>13</v>
      </c>
      <c r="J14" s="47"/>
      <c r="K14" s="47" t="s">
        <v>79</v>
      </c>
      <c r="L14" s="47" t="s">
        <v>131</v>
      </c>
    </row>
    <row r="15" spans="1:12" ht="73.5" customHeight="1">
      <c r="A15" s="42" t="s">
        <v>132</v>
      </c>
      <c r="B15" s="42" t="s">
        <v>39</v>
      </c>
      <c r="C15" s="42" t="s">
        <v>133</v>
      </c>
      <c r="D15" s="42" t="s">
        <v>74</v>
      </c>
      <c r="E15" s="42" t="s">
        <v>134</v>
      </c>
      <c r="F15" s="42" t="s">
        <v>135</v>
      </c>
      <c r="G15" s="42" t="s">
        <v>136</v>
      </c>
      <c r="H15" s="42" t="s">
        <v>137</v>
      </c>
      <c r="I15" s="46" t="s">
        <v>13</v>
      </c>
      <c r="J15" s="42"/>
      <c r="K15" s="42" t="s">
        <v>79</v>
      </c>
      <c r="L15" s="42"/>
    </row>
    <row r="16" spans="1:12" ht="73.5" customHeight="1">
      <c r="A16" s="47" t="s">
        <v>138</v>
      </c>
      <c r="B16" s="47" t="s">
        <v>39</v>
      </c>
      <c r="C16" s="47" t="s">
        <v>139</v>
      </c>
      <c r="D16" s="47" t="s">
        <v>140</v>
      </c>
      <c r="E16" s="47" t="s">
        <v>141</v>
      </c>
      <c r="F16" s="47" t="s">
        <v>142</v>
      </c>
      <c r="G16" s="47" t="s">
        <v>143</v>
      </c>
      <c r="H16" s="47" t="s">
        <v>144</v>
      </c>
      <c r="I16" s="46" t="s">
        <v>13</v>
      </c>
      <c r="J16" s="47"/>
      <c r="K16" s="47" t="s">
        <v>79</v>
      </c>
      <c r="L16" s="47"/>
    </row>
    <row r="17" spans="1:12" ht="73.5" customHeight="1">
      <c r="A17" s="42" t="s">
        <v>145</v>
      </c>
      <c r="B17" s="42" t="s">
        <v>39</v>
      </c>
      <c r="C17" s="42" t="s">
        <v>146</v>
      </c>
      <c r="D17" s="42" t="s">
        <v>74</v>
      </c>
      <c r="E17" s="42" t="s">
        <v>147</v>
      </c>
      <c r="F17" s="42" t="s">
        <v>148</v>
      </c>
      <c r="G17" s="42" t="s">
        <v>149</v>
      </c>
      <c r="H17" s="48" t="s">
        <v>116</v>
      </c>
      <c r="I17" s="49" t="s">
        <v>15</v>
      </c>
      <c r="J17" s="51" t="s">
        <v>53</v>
      </c>
      <c r="K17" s="42" t="s">
        <v>150</v>
      </c>
      <c r="L17" s="42" t="s">
        <v>151</v>
      </c>
    </row>
    <row r="18" spans="1:12" ht="73.5" customHeight="1">
      <c r="A18" s="47" t="s">
        <v>152</v>
      </c>
      <c r="B18" s="47" t="s">
        <v>39</v>
      </c>
      <c r="C18" s="47" t="s">
        <v>153</v>
      </c>
      <c r="D18" s="47" t="s">
        <v>74</v>
      </c>
      <c r="E18" s="47" t="s">
        <v>154</v>
      </c>
      <c r="F18" s="47" t="s">
        <v>155</v>
      </c>
      <c r="G18" s="47" t="s">
        <v>156</v>
      </c>
      <c r="H18" s="47" t="s">
        <v>157</v>
      </c>
      <c r="I18" s="46" t="s">
        <v>13</v>
      </c>
      <c r="J18" s="47"/>
      <c r="K18" s="47" t="s">
        <v>158</v>
      </c>
      <c r="L18" s="47"/>
    </row>
    <row r="19" spans="1:12" ht="73.5" customHeight="1">
      <c r="A19" s="42" t="s">
        <v>159</v>
      </c>
      <c r="B19" s="42" t="s">
        <v>39</v>
      </c>
      <c r="C19" s="42" t="s">
        <v>160</v>
      </c>
      <c r="D19" s="42" t="s">
        <v>74</v>
      </c>
      <c r="E19" s="42" t="s">
        <v>161</v>
      </c>
      <c r="F19" s="42" t="s">
        <v>162</v>
      </c>
      <c r="G19" s="42" t="s">
        <v>163</v>
      </c>
      <c r="H19" s="42" t="s">
        <v>70</v>
      </c>
      <c r="I19" s="46" t="s">
        <v>13</v>
      </c>
      <c r="J19" s="42"/>
      <c r="K19" s="42" t="s">
        <v>164</v>
      </c>
      <c r="L19" s="42"/>
    </row>
    <row r="20" spans="1:12" ht="73.5" customHeight="1">
      <c r="A20" s="47" t="s">
        <v>165</v>
      </c>
      <c r="B20" s="47" t="s">
        <v>39</v>
      </c>
      <c r="C20" s="47" t="s">
        <v>166</v>
      </c>
      <c r="D20" s="47" t="s">
        <v>74</v>
      </c>
      <c r="E20" s="47" t="s">
        <v>167</v>
      </c>
      <c r="F20" s="47" t="s">
        <v>168</v>
      </c>
      <c r="G20" s="47" t="s">
        <v>169</v>
      </c>
      <c r="H20" s="47" t="s">
        <v>116</v>
      </c>
      <c r="I20" s="46" t="s">
        <v>13</v>
      </c>
      <c r="J20" s="47"/>
      <c r="K20" s="47" t="s">
        <v>79</v>
      </c>
      <c r="L20" s="47" t="s">
        <v>170</v>
      </c>
    </row>
    <row r="21" spans="1:12" ht="73.5" customHeight="1">
      <c r="A21" s="42" t="s">
        <v>171</v>
      </c>
      <c r="B21" s="42" t="s">
        <v>39</v>
      </c>
      <c r="C21" s="42" t="s">
        <v>172</v>
      </c>
      <c r="D21" s="42" t="s">
        <v>74</v>
      </c>
      <c r="E21" s="42" t="s">
        <v>173</v>
      </c>
      <c r="F21" s="42" t="s">
        <v>174</v>
      </c>
      <c r="G21" s="42" t="s">
        <v>175</v>
      </c>
      <c r="H21" s="42" t="s">
        <v>176</v>
      </c>
      <c r="I21" s="46" t="s">
        <v>13</v>
      </c>
      <c r="J21" s="42"/>
      <c r="K21" s="42" t="s">
        <v>79</v>
      </c>
      <c r="L21" s="42"/>
    </row>
    <row r="22" spans="1:12" ht="73.5" customHeight="1">
      <c r="A22" s="47" t="s">
        <v>177</v>
      </c>
      <c r="B22" s="47" t="s">
        <v>39</v>
      </c>
      <c r="C22" s="47" t="s">
        <v>178</v>
      </c>
      <c r="D22" s="47" t="s">
        <v>74</v>
      </c>
      <c r="E22" s="47" t="s">
        <v>179</v>
      </c>
      <c r="F22" s="47" t="s">
        <v>180</v>
      </c>
      <c r="G22" s="47" t="s">
        <v>181</v>
      </c>
      <c r="H22" s="48" t="s">
        <v>182</v>
      </c>
      <c r="I22" s="49" t="s">
        <v>15</v>
      </c>
      <c r="J22" s="51" t="s">
        <v>53</v>
      </c>
      <c r="K22" s="47" t="s">
        <v>79</v>
      </c>
      <c r="L22" s="47" t="s">
        <v>183</v>
      </c>
    </row>
    <row r="23" spans="1:12" ht="73.5" customHeight="1">
      <c r="A23" s="42" t="s">
        <v>184</v>
      </c>
      <c r="B23" s="42" t="s">
        <v>39</v>
      </c>
      <c r="C23" s="42" t="s">
        <v>185</v>
      </c>
      <c r="D23" s="42" t="s">
        <v>74</v>
      </c>
      <c r="E23" s="42" t="s">
        <v>186</v>
      </c>
      <c r="F23" s="42" t="s">
        <v>187</v>
      </c>
      <c r="G23" s="42" t="s">
        <v>188</v>
      </c>
      <c r="H23" s="42" t="s">
        <v>70</v>
      </c>
      <c r="I23" s="46" t="s">
        <v>13</v>
      </c>
      <c r="J23" s="42"/>
      <c r="K23" s="42" t="s">
        <v>117</v>
      </c>
      <c r="L23" s="42"/>
    </row>
    <row r="24" spans="1:12" ht="73.5" customHeight="1">
      <c r="A24" s="47" t="s">
        <v>189</v>
      </c>
      <c r="B24" s="47" t="s">
        <v>39</v>
      </c>
      <c r="C24" s="47" t="s">
        <v>190</v>
      </c>
      <c r="D24" s="47" t="s">
        <v>74</v>
      </c>
      <c r="E24" s="47" t="s">
        <v>191</v>
      </c>
      <c r="F24" s="47" t="s">
        <v>192</v>
      </c>
      <c r="G24" s="47" t="s">
        <v>193</v>
      </c>
      <c r="H24" s="47" t="s">
        <v>194</v>
      </c>
      <c r="I24" s="46" t="s">
        <v>13</v>
      </c>
      <c r="J24" s="47"/>
      <c r="K24" s="47" t="s">
        <v>195</v>
      </c>
      <c r="L24" s="47"/>
    </row>
    <row r="25" spans="1:12" ht="73.5" customHeight="1">
      <c r="A25" s="42" t="s">
        <v>196</v>
      </c>
      <c r="B25" s="42" t="s">
        <v>39</v>
      </c>
      <c r="C25" s="42" t="s">
        <v>197</v>
      </c>
      <c r="D25" s="42" t="s">
        <v>198</v>
      </c>
      <c r="E25" s="42" t="s">
        <v>199</v>
      </c>
      <c r="F25" s="52" t="s">
        <v>200</v>
      </c>
      <c r="G25" s="42" t="s">
        <v>201</v>
      </c>
      <c r="H25" s="42" t="s">
        <v>202</v>
      </c>
      <c r="I25" s="46" t="s">
        <v>13</v>
      </c>
      <c r="J25" s="42"/>
      <c r="K25" s="42" t="s">
        <v>117</v>
      </c>
      <c r="L25" s="42" t="s">
        <v>203</v>
      </c>
    </row>
    <row r="26" spans="1:12" ht="73.5" customHeight="1">
      <c r="A26" s="47" t="s">
        <v>204</v>
      </c>
      <c r="B26" s="47" t="s">
        <v>39</v>
      </c>
      <c r="C26" s="47" t="s">
        <v>205</v>
      </c>
      <c r="D26" s="47" t="s">
        <v>206</v>
      </c>
      <c r="E26" s="47" t="s">
        <v>207</v>
      </c>
      <c r="F26" s="47" t="s">
        <v>208</v>
      </c>
      <c r="G26" s="47" t="s">
        <v>209</v>
      </c>
      <c r="H26" s="47" t="s">
        <v>210</v>
      </c>
      <c r="I26" s="46" t="s">
        <v>13</v>
      </c>
      <c r="J26" s="47"/>
      <c r="K26" s="47" t="s">
        <v>211</v>
      </c>
      <c r="L26" s="47"/>
    </row>
    <row r="27" spans="1:12" ht="73.5" customHeight="1">
      <c r="A27" s="42" t="s">
        <v>212</v>
      </c>
      <c r="B27" s="42" t="s">
        <v>39</v>
      </c>
      <c r="C27" s="42" t="s">
        <v>213</v>
      </c>
      <c r="D27" s="42" t="s">
        <v>74</v>
      </c>
      <c r="E27" s="42" t="s">
        <v>214</v>
      </c>
      <c r="F27" s="42" t="s">
        <v>215</v>
      </c>
      <c r="G27" s="42" t="s">
        <v>216</v>
      </c>
      <c r="H27" s="42" t="s">
        <v>217</v>
      </c>
      <c r="I27" s="43" t="s">
        <v>13</v>
      </c>
      <c r="J27" s="42"/>
      <c r="K27" s="42" t="s">
        <v>79</v>
      </c>
      <c r="L27" s="42"/>
    </row>
    <row r="28" spans="1:12" ht="73.5" customHeight="1">
      <c r="A28" s="42" t="s">
        <v>218</v>
      </c>
      <c r="B28" s="42" t="s">
        <v>39</v>
      </c>
      <c r="C28" s="42" t="s">
        <v>219</v>
      </c>
      <c r="D28" s="42" t="s">
        <v>74</v>
      </c>
      <c r="E28" s="42" t="s">
        <v>220</v>
      </c>
      <c r="F28" s="42" t="s">
        <v>221</v>
      </c>
      <c r="G28" s="42" t="s">
        <v>222</v>
      </c>
      <c r="H28" s="47" t="s">
        <v>223</v>
      </c>
      <c r="I28" s="53" t="s">
        <v>15</v>
      </c>
      <c r="J28" s="20" t="s">
        <v>53</v>
      </c>
      <c r="K28" s="42" t="s">
        <v>224</v>
      </c>
      <c r="L28" s="42" t="s">
        <v>225</v>
      </c>
    </row>
    <row r="29" spans="1:12" ht="73.5" customHeight="1">
      <c r="A29" s="42" t="s">
        <v>226</v>
      </c>
      <c r="B29" s="42" t="s">
        <v>39</v>
      </c>
      <c r="C29" s="42" t="s">
        <v>227</v>
      </c>
      <c r="D29" s="42" t="s">
        <v>74</v>
      </c>
      <c r="E29" s="42" t="s">
        <v>228</v>
      </c>
      <c r="F29" s="42" t="s">
        <v>229</v>
      </c>
      <c r="G29" s="42" t="s">
        <v>230</v>
      </c>
      <c r="H29" s="42" t="s">
        <v>70</v>
      </c>
      <c r="I29" s="53" t="s">
        <v>15</v>
      </c>
      <c r="J29" s="20" t="s">
        <v>53</v>
      </c>
      <c r="K29" s="42" t="s">
        <v>117</v>
      </c>
      <c r="L29" s="42" t="s">
        <v>231</v>
      </c>
    </row>
    <row r="30" spans="1:12" ht="73.5" customHeight="1">
      <c r="A30" s="42" t="s">
        <v>232</v>
      </c>
      <c r="B30" s="42" t="s">
        <v>39</v>
      </c>
      <c r="C30" s="42" t="s">
        <v>233</v>
      </c>
      <c r="D30" s="42" t="s">
        <v>74</v>
      </c>
      <c r="E30" s="42" t="s">
        <v>234</v>
      </c>
      <c r="F30" s="42" t="s">
        <v>235</v>
      </c>
      <c r="G30" s="42" t="s">
        <v>236</v>
      </c>
      <c r="H30" s="47" t="s">
        <v>223</v>
      </c>
      <c r="I30" s="43" t="s">
        <v>13</v>
      </c>
      <c r="J30" s="42"/>
      <c r="K30" s="42" t="s">
        <v>117</v>
      </c>
      <c r="L30" s="42"/>
    </row>
    <row r="31" spans="1:12" ht="73.5" customHeight="1">
      <c r="A31" s="42" t="s">
        <v>237</v>
      </c>
      <c r="B31" s="42" t="s">
        <v>39</v>
      </c>
      <c r="C31" s="42" t="s">
        <v>238</v>
      </c>
      <c r="D31" s="42" t="s">
        <v>74</v>
      </c>
      <c r="E31" s="42" t="s">
        <v>239</v>
      </c>
      <c r="F31" s="42" t="s">
        <v>240</v>
      </c>
      <c r="G31" s="42" t="s">
        <v>241</v>
      </c>
      <c r="H31" s="47" t="s">
        <v>223</v>
      </c>
      <c r="I31" s="43" t="s">
        <v>13</v>
      </c>
      <c r="J31" s="42"/>
      <c r="K31" s="42" t="s">
        <v>117</v>
      </c>
      <c r="L31" s="42"/>
    </row>
    <row r="32" spans="1:12" ht="73.5" customHeight="1">
      <c r="A32" s="42" t="s">
        <v>242</v>
      </c>
      <c r="B32" s="42" t="s">
        <v>39</v>
      </c>
      <c r="C32" s="42" t="s">
        <v>243</v>
      </c>
      <c r="D32" s="42" t="s">
        <v>244</v>
      </c>
      <c r="E32" s="42" t="s">
        <v>245</v>
      </c>
      <c r="F32" s="54" t="s">
        <v>246</v>
      </c>
      <c r="G32" s="55" t="s">
        <v>247</v>
      </c>
      <c r="H32" s="42" t="s">
        <v>176</v>
      </c>
      <c r="I32" s="53" t="s">
        <v>15</v>
      </c>
      <c r="J32" s="20" t="s">
        <v>53</v>
      </c>
      <c r="K32" s="42" t="s">
        <v>248</v>
      </c>
      <c r="L32" s="42" t="s">
        <v>249</v>
      </c>
    </row>
  </sheetData>
  <mergeCells count="2">
    <mergeCell ref="A1:E1"/>
    <mergeCell ref="A2:E2"/>
  </mergeCells>
  <dataValidations count="2">
    <dataValidation type="list" allowBlank="1" sqref="I5:I32">
      <formula1>"Pass,Fail,Blocked,Not Executed"</formula1>
    </dataValidation>
    <dataValidation type="list" allowBlank="1" sqref="J5:J32">
      <formula1>"Critical,High,Medium,Low"</formula1>
    </dataValidation>
  </dataValidations>
  <hyperlinks>
    <hyperlink ref="F25" r:id="rId1"/>
    <hyperlink ref="F3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L19"/>
  <sheetViews>
    <sheetView showGridLines="0" topLeftCell="C1" workbookViewId="0">
      <pane ySplit="4" topLeftCell="A16" activePane="bottomLeft" state="frozen"/>
      <selection pane="bottomLeft" activeCell="I17" sqref="I17"/>
    </sheetView>
  </sheetViews>
  <sheetFormatPr defaultColWidth="8.6640625" defaultRowHeight="14.4"/>
  <cols>
    <col min="1" max="1" width="15" customWidth="1"/>
    <col min="2" max="2" width="14" customWidth="1"/>
    <col min="3" max="3" width="28" customWidth="1"/>
    <col min="4" max="4" width="24" customWidth="1"/>
    <col min="5" max="5" width="43.77734375" customWidth="1"/>
    <col min="6" max="6" width="25.88671875" customWidth="1"/>
    <col min="7" max="8" width="40" customWidth="1"/>
    <col min="9" max="9" width="12" customWidth="1"/>
    <col min="10" max="10" width="11" customWidth="1"/>
    <col min="11" max="11" width="22" customWidth="1"/>
    <col min="12" max="12" width="30" customWidth="1"/>
  </cols>
  <sheetData>
    <row r="1" spans="1:12" ht="16.5" customHeight="1">
      <c r="A1" s="72" t="s">
        <v>250</v>
      </c>
      <c r="B1" s="72"/>
      <c r="C1" s="72"/>
      <c r="D1" s="72"/>
      <c r="E1" s="72"/>
      <c r="F1" s="72"/>
    </row>
    <row r="2" spans="1:12">
      <c r="A2" s="3"/>
    </row>
    <row r="4" spans="1:12" ht="30" customHeight="1">
      <c r="A4" s="37" t="s">
        <v>59</v>
      </c>
      <c r="B4" s="37" t="s">
        <v>60</v>
      </c>
      <c r="C4" s="37" t="s">
        <v>61</v>
      </c>
      <c r="D4" s="37" t="s">
        <v>23</v>
      </c>
      <c r="E4" s="37" t="s">
        <v>25</v>
      </c>
      <c r="F4" s="37" t="s">
        <v>27</v>
      </c>
      <c r="G4" s="37" t="s">
        <v>29</v>
      </c>
      <c r="H4" s="37" t="s">
        <v>31</v>
      </c>
      <c r="I4" s="37" t="s">
        <v>62</v>
      </c>
      <c r="J4" s="37" t="s">
        <v>33</v>
      </c>
      <c r="K4" s="37" t="s">
        <v>35</v>
      </c>
      <c r="L4" s="37" t="s">
        <v>63</v>
      </c>
    </row>
    <row r="5" spans="1:12" ht="73.5" customHeight="1">
      <c r="A5" s="38" t="s">
        <v>251</v>
      </c>
      <c r="B5" s="38" t="s">
        <v>252</v>
      </c>
      <c r="C5" s="38" t="s">
        <v>253</v>
      </c>
      <c r="D5" s="38" t="s">
        <v>254</v>
      </c>
      <c r="E5" s="38" t="s">
        <v>255</v>
      </c>
      <c r="F5" s="38" t="s">
        <v>256</v>
      </c>
      <c r="G5" s="38" t="s">
        <v>257</v>
      </c>
      <c r="H5" s="38" t="s">
        <v>258</v>
      </c>
      <c r="I5" s="39" t="s">
        <v>13</v>
      </c>
      <c r="J5" s="38"/>
      <c r="K5" s="38" t="s">
        <v>71</v>
      </c>
      <c r="L5" s="38"/>
    </row>
    <row r="6" spans="1:12" ht="73.5" customHeight="1">
      <c r="A6" s="38" t="s">
        <v>259</v>
      </c>
      <c r="B6" s="38" t="s">
        <v>252</v>
      </c>
      <c r="C6" s="38" t="s">
        <v>260</v>
      </c>
      <c r="D6" s="38" t="s">
        <v>261</v>
      </c>
      <c r="E6" s="38" t="s">
        <v>262</v>
      </c>
      <c r="F6" s="38" t="s">
        <v>263</v>
      </c>
      <c r="G6" s="38" t="s">
        <v>264</v>
      </c>
      <c r="H6" s="38" t="s">
        <v>265</v>
      </c>
      <c r="I6" s="39" t="s">
        <v>13</v>
      </c>
      <c r="J6" s="38"/>
      <c r="K6" s="38" t="s">
        <v>79</v>
      </c>
      <c r="L6" s="38"/>
    </row>
    <row r="7" spans="1:12" ht="73.5" customHeight="1">
      <c r="A7" s="38" t="s">
        <v>266</v>
      </c>
      <c r="B7" s="38" t="s">
        <v>252</v>
      </c>
      <c r="C7" s="38" t="s">
        <v>267</v>
      </c>
      <c r="D7" s="38" t="s">
        <v>261</v>
      </c>
      <c r="E7" s="38" t="s">
        <v>268</v>
      </c>
      <c r="F7" s="38" t="s">
        <v>269</v>
      </c>
      <c r="G7" s="38" t="s">
        <v>270</v>
      </c>
      <c r="H7" s="38" t="s">
        <v>271</v>
      </c>
      <c r="I7" s="39" t="s">
        <v>13</v>
      </c>
      <c r="J7" s="38"/>
      <c r="K7" s="38" t="s">
        <v>79</v>
      </c>
      <c r="L7" s="38"/>
    </row>
    <row r="8" spans="1:12" ht="73.5" customHeight="1">
      <c r="A8" s="38" t="s">
        <v>272</v>
      </c>
      <c r="B8" s="38" t="s">
        <v>252</v>
      </c>
      <c r="C8" s="38" t="s">
        <v>273</v>
      </c>
      <c r="D8" s="38" t="s">
        <v>274</v>
      </c>
      <c r="E8" s="38" t="s">
        <v>275</v>
      </c>
      <c r="F8" s="38" t="s">
        <v>276</v>
      </c>
      <c r="G8" s="38" t="s">
        <v>277</v>
      </c>
      <c r="H8" s="38" t="s">
        <v>278</v>
      </c>
      <c r="I8" s="39" t="s">
        <v>13</v>
      </c>
      <c r="J8" s="38"/>
      <c r="K8" s="38" t="s">
        <v>279</v>
      </c>
      <c r="L8" s="38" t="s">
        <v>280</v>
      </c>
    </row>
    <row r="9" spans="1:12" ht="73.5" customHeight="1">
      <c r="A9" s="38" t="s">
        <v>281</v>
      </c>
      <c r="B9" s="38" t="s">
        <v>252</v>
      </c>
      <c r="C9" s="38" t="s">
        <v>282</v>
      </c>
      <c r="D9" s="38" t="s">
        <v>283</v>
      </c>
      <c r="E9" s="38" t="s">
        <v>284</v>
      </c>
      <c r="F9" s="38" t="s">
        <v>285</v>
      </c>
      <c r="G9" s="38" t="s">
        <v>286</v>
      </c>
      <c r="H9" s="38" t="s">
        <v>287</v>
      </c>
      <c r="I9" s="39" t="s">
        <v>13</v>
      </c>
      <c r="J9" s="38"/>
      <c r="K9" s="38" t="s">
        <v>288</v>
      </c>
      <c r="L9" s="38"/>
    </row>
    <row r="10" spans="1:12" ht="73.5" customHeight="1">
      <c r="A10" s="38" t="s">
        <v>289</v>
      </c>
      <c r="B10" s="38" t="s">
        <v>252</v>
      </c>
      <c r="C10" s="38" t="s">
        <v>290</v>
      </c>
      <c r="D10" s="38" t="s">
        <v>261</v>
      </c>
      <c r="E10" s="38" t="s">
        <v>291</v>
      </c>
      <c r="F10" s="38" t="s">
        <v>292</v>
      </c>
      <c r="G10" s="38" t="s">
        <v>293</v>
      </c>
      <c r="H10" s="38" t="s">
        <v>294</v>
      </c>
      <c r="I10" s="40" t="s">
        <v>15</v>
      </c>
      <c r="J10" s="41" t="s">
        <v>51</v>
      </c>
      <c r="K10" s="38" t="s">
        <v>295</v>
      </c>
      <c r="L10" s="38" t="s">
        <v>296</v>
      </c>
    </row>
    <row r="11" spans="1:12" ht="73.5" customHeight="1">
      <c r="A11" s="38" t="s">
        <v>297</v>
      </c>
      <c r="B11" s="38" t="s">
        <v>252</v>
      </c>
      <c r="C11" s="38" t="s">
        <v>298</v>
      </c>
      <c r="D11" s="38" t="s">
        <v>299</v>
      </c>
      <c r="E11" s="38" t="s">
        <v>300</v>
      </c>
      <c r="F11" s="38" t="s">
        <v>301</v>
      </c>
      <c r="G11" s="38" t="s">
        <v>302</v>
      </c>
      <c r="H11" s="38" t="s">
        <v>303</v>
      </c>
      <c r="I11" s="39" t="s">
        <v>13</v>
      </c>
      <c r="J11" s="38"/>
      <c r="K11" s="38" t="s">
        <v>304</v>
      </c>
      <c r="L11" s="38"/>
    </row>
    <row r="12" spans="1:12" ht="73.5" customHeight="1">
      <c r="A12" s="38" t="s">
        <v>305</v>
      </c>
      <c r="B12" s="38" t="s">
        <v>252</v>
      </c>
      <c r="C12" s="38" t="s">
        <v>306</v>
      </c>
      <c r="D12" s="38" t="s">
        <v>261</v>
      </c>
      <c r="E12" s="38" t="s">
        <v>307</v>
      </c>
      <c r="F12" s="38" t="s">
        <v>308</v>
      </c>
      <c r="G12" s="38" t="s">
        <v>309</v>
      </c>
      <c r="H12" s="38" t="s">
        <v>310</v>
      </c>
      <c r="I12" s="39" t="s">
        <v>13</v>
      </c>
      <c r="J12" s="38"/>
      <c r="K12" s="38" t="s">
        <v>79</v>
      </c>
      <c r="L12" s="38"/>
    </row>
    <row r="13" spans="1:12" ht="73.5" customHeight="1">
      <c r="A13" s="38" t="s">
        <v>311</v>
      </c>
      <c r="B13" s="38" t="s">
        <v>252</v>
      </c>
      <c r="C13" s="38" t="s">
        <v>312</v>
      </c>
      <c r="D13" s="38" t="s">
        <v>313</v>
      </c>
      <c r="E13" s="38" t="s">
        <v>314</v>
      </c>
      <c r="F13" s="38" t="s">
        <v>315</v>
      </c>
      <c r="G13" s="38" t="s">
        <v>316</v>
      </c>
      <c r="H13" s="38" t="s">
        <v>317</v>
      </c>
      <c r="I13" s="39" t="s">
        <v>13</v>
      </c>
      <c r="J13" s="38"/>
      <c r="K13" s="38" t="s">
        <v>295</v>
      </c>
      <c r="L13" s="38" t="s">
        <v>318</v>
      </c>
    </row>
    <row r="14" spans="1:12" ht="73.5" customHeight="1">
      <c r="A14" s="42" t="s">
        <v>319</v>
      </c>
      <c r="B14" s="42" t="s">
        <v>252</v>
      </c>
      <c r="C14" s="42" t="s">
        <v>320</v>
      </c>
      <c r="D14" s="42" t="s">
        <v>321</v>
      </c>
      <c r="E14" s="42" t="s">
        <v>322</v>
      </c>
      <c r="F14" s="42" t="s">
        <v>323</v>
      </c>
      <c r="G14" s="42" t="s">
        <v>324</v>
      </c>
      <c r="H14" s="42" t="s">
        <v>325</v>
      </c>
      <c r="I14" s="43" t="s">
        <v>13</v>
      </c>
      <c r="J14" s="42"/>
      <c r="K14" s="42" t="s">
        <v>326</v>
      </c>
      <c r="L14" s="42"/>
    </row>
    <row r="15" spans="1:12" ht="73.5" customHeight="1">
      <c r="A15" s="42" t="s">
        <v>327</v>
      </c>
      <c r="B15" s="42" t="s">
        <v>252</v>
      </c>
      <c r="C15" s="42" t="s">
        <v>328</v>
      </c>
      <c r="D15" s="42" t="s">
        <v>321</v>
      </c>
      <c r="E15" s="42" t="s">
        <v>329</v>
      </c>
      <c r="F15" s="42" t="s">
        <v>330</v>
      </c>
      <c r="G15" s="42" t="s">
        <v>331</v>
      </c>
      <c r="H15" s="42" t="s">
        <v>332</v>
      </c>
      <c r="I15" s="43" t="s">
        <v>13</v>
      </c>
      <c r="J15" s="42"/>
      <c r="K15" s="42" t="s">
        <v>333</v>
      </c>
      <c r="L15" s="42"/>
    </row>
    <row r="16" spans="1:12" ht="73.5" customHeight="1">
      <c r="A16" s="42" t="s">
        <v>334</v>
      </c>
      <c r="B16" s="42" t="s">
        <v>252</v>
      </c>
      <c r="C16" s="42" t="s">
        <v>335</v>
      </c>
      <c r="D16" s="42" t="s">
        <v>321</v>
      </c>
      <c r="E16" s="42" t="s">
        <v>336</v>
      </c>
      <c r="F16" s="42" t="s">
        <v>337</v>
      </c>
      <c r="G16" s="42" t="s">
        <v>338</v>
      </c>
      <c r="H16" s="42" t="s">
        <v>339</v>
      </c>
      <c r="I16" s="43" t="s">
        <v>13</v>
      </c>
      <c r="J16" s="42"/>
      <c r="K16" s="42" t="s">
        <v>117</v>
      </c>
      <c r="L16" s="42"/>
    </row>
    <row r="17" spans="1:12" ht="73.5" customHeight="1">
      <c r="A17" s="42" t="s">
        <v>340</v>
      </c>
      <c r="B17" s="42" t="s">
        <v>252</v>
      </c>
      <c r="C17" s="42" t="s">
        <v>341</v>
      </c>
      <c r="D17" s="42" t="s">
        <v>342</v>
      </c>
      <c r="E17" s="42" t="s">
        <v>343</v>
      </c>
      <c r="F17" s="42" t="s">
        <v>344</v>
      </c>
      <c r="G17" s="42" t="s">
        <v>345</v>
      </c>
      <c r="H17" s="42" t="s">
        <v>346</v>
      </c>
      <c r="I17" s="43" t="s">
        <v>17</v>
      </c>
      <c r="J17" s="42"/>
      <c r="K17" s="42" t="s">
        <v>347</v>
      </c>
      <c r="L17" s="42" t="s">
        <v>348</v>
      </c>
    </row>
    <row r="18" spans="1:12" ht="73.5" customHeight="1">
      <c r="A18" s="42" t="s">
        <v>349</v>
      </c>
      <c r="B18" s="42" t="s">
        <v>252</v>
      </c>
      <c r="C18" s="42" t="s">
        <v>350</v>
      </c>
      <c r="D18" s="42" t="s">
        <v>351</v>
      </c>
      <c r="E18" s="42" t="s">
        <v>352</v>
      </c>
      <c r="F18" s="42" t="s">
        <v>353</v>
      </c>
      <c r="G18" s="42" t="s">
        <v>354</v>
      </c>
      <c r="H18" s="38" t="s">
        <v>287</v>
      </c>
      <c r="I18" s="43" t="s">
        <v>13</v>
      </c>
      <c r="J18" s="42"/>
      <c r="K18" s="42" t="s">
        <v>288</v>
      </c>
      <c r="L18" s="42"/>
    </row>
    <row r="19" spans="1:12" ht="73.5" customHeight="1">
      <c r="A19" s="42" t="s">
        <v>355</v>
      </c>
      <c r="B19" s="42" t="s">
        <v>252</v>
      </c>
      <c r="C19" s="42" t="s">
        <v>356</v>
      </c>
      <c r="D19" s="42" t="s">
        <v>321</v>
      </c>
      <c r="E19" s="42" t="s">
        <v>357</v>
      </c>
      <c r="F19" s="42" t="s">
        <v>358</v>
      </c>
      <c r="G19" s="42" t="s">
        <v>359</v>
      </c>
      <c r="H19" s="42" t="s">
        <v>360</v>
      </c>
      <c r="I19" s="43" t="s">
        <v>13</v>
      </c>
      <c r="J19" s="42"/>
      <c r="K19" s="42" t="s">
        <v>361</v>
      </c>
      <c r="L19" s="42"/>
    </row>
  </sheetData>
  <mergeCells count="1">
    <mergeCell ref="A1:F1"/>
  </mergeCells>
  <dataValidations count="2">
    <dataValidation type="list" allowBlank="1" sqref="I5:I19">
      <formula1>"Pass,Fail,Blocked,Not Executed"</formula1>
    </dataValidation>
    <dataValidation type="list" allowBlank="1" sqref="J5:J19">
      <formula1>"Critical,High,Medium,Low"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L19"/>
  <sheetViews>
    <sheetView workbookViewId="0">
      <pane ySplit="4" topLeftCell="A5" activePane="bottomLeft" state="frozen"/>
      <selection pane="bottomLeft" sqref="A1:E1"/>
    </sheetView>
  </sheetViews>
  <sheetFormatPr defaultColWidth="9" defaultRowHeight="14.4"/>
  <cols>
    <col min="1" max="1" width="13.88671875" customWidth="1"/>
    <col min="2" max="2" width="7.21875" customWidth="1"/>
    <col min="3" max="3" width="27.6640625" customWidth="1"/>
    <col min="4" max="4" width="24.6640625" customWidth="1"/>
    <col min="5" max="5" width="41.88671875" customWidth="1"/>
    <col min="6" max="6" width="29.21875" customWidth="1"/>
    <col min="7" max="7" width="41.6640625" customWidth="1"/>
    <col min="8" max="8" width="41.109375" customWidth="1"/>
    <col min="9" max="9" width="6.6640625" customWidth="1"/>
    <col min="10" max="10" width="8.109375" customWidth="1"/>
    <col min="11" max="11" width="16.44140625" customWidth="1"/>
    <col min="12" max="12" width="31" customWidth="1"/>
  </cols>
  <sheetData>
    <row r="1" spans="1:12" ht="17.399999999999999">
      <c r="A1" s="73" t="s">
        <v>362</v>
      </c>
      <c r="B1" s="73"/>
      <c r="C1" s="73"/>
      <c r="D1" s="73"/>
      <c r="E1" s="73"/>
      <c r="F1" s="27"/>
      <c r="G1" s="27"/>
      <c r="H1" s="27"/>
      <c r="I1" s="28"/>
      <c r="J1" s="28"/>
      <c r="K1" s="28"/>
      <c r="L1" s="28"/>
    </row>
    <row r="2" spans="1:12">
      <c r="A2" s="29"/>
      <c r="B2" s="29"/>
      <c r="C2" s="29"/>
      <c r="D2" s="29"/>
      <c r="E2" s="29"/>
      <c r="F2" s="28"/>
      <c r="G2" s="28"/>
      <c r="H2" s="28"/>
      <c r="I2" s="28"/>
      <c r="J2" s="28"/>
      <c r="K2" s="28"/>
      <c r="L2" s="28"/>
    </row>
    <row r="3" spans="1:1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30" customHeight="1">
      <c r="A4" s="30" t="s">
        <v>59</v>
      </c>
      <c r="B4" s="30" t="s">
        <v>60</v>
      </c>
      <c r="C4" s="30" t="s">
        <v>61</v>
      </c>
      <c r="D4" s="30" t="s">
        <v>23</v>
      </c>
      <c r="E4" s="30" t="s">
        <v>25</v>
      </c>
      <c r="F4" s="30" t="s">
        <v>27</v>
      </c>
      <c r="G4" s="30" t="s">
        <v>29</v>
      </c>
      <c r="H4" s="30" t="s">
        <v>31</v>
      </c>
      <c r="I4" s="30" t="s">
        <v>62</v>
      </c>
      <c r="J4" s="30" t="s">
        <v>33</v>
      </c>
      <c r="K4" s="30" t="s">
        <v>35</v>
      </c>
      <c r="L4" s="30" t="s">
        <v>63</v>
      </c>
    </row>
    <row r="5" spans="1:12" ht="73.95" customHeight="1">
      <c r="A5" s="31" t="s">
        <v>363</v>
      </c>
      <c r="B5" s="31" t="s">
        <v>47</v>
      </c>
      <c r="C5" s="31" t="s">
        <v>364</v>
      </c>
      <c r="D5" s="31" t="s">
        <v>365</v>
      </c>
      <c r="E5" s="31" t="s">
        <v>366</v>
      </c>
      <c r="F5" s="31" t="s">
        <v>367</v>
      </c>
      <c r="G5" s="31" t="s">
        <v>368</v>
      </c>
      <c r="H5" s="31" t="s">
        <v>369</v>
      </c>
      <c r="I5" s="32" t="s">
        <v>13</v>
      </c>
      <c r="J5" s="31"/>
      <c r="K5" s="31" t="s">
        <v>71</v>
      </c>
      <c r="L5" s="31"/>
    </row>
    <row r="6" spans="1:12" ht="73.95" customHeight="1">
      <c r="A6" s="33" t="s">
        <v>370</v>
      </c>
      <c r="B6" s="33" t="s">
        <v>47</v>
      </c>
      <c r="C6" s="33" t="s">
        <v>81</v>
      </c>
      <c r="D6" s="33" t="s">
        <v>371</v>
      </c>
      <c r="E6" s="33" t="s">
        <v>372</v>
      </c>
      <c r="F6" s="33" t="s">
        <v>373</v>
      </c>
      <c r="G6" s="33" t="s">
        <v>374</v>
      </c>
      <c r="H6" s="33" t="s">
        <v>375</v>
      </c>
      <c r="I6" s="32" t="s">
        <v>13</v>
      </c>
      <c r="J6" s="33"/>
      <c r="K6" s="33" t="s">
        <v>79</v>
      </c>
      <c r="L6" s="33"/>
    </row>
    <row r="7" spans="1:12" ht="73.95" customHeight="1">
      <c r="A7" s="31" t="s">
        <v>376</v>
      </c>
      <c r="B7" s="31" t="s">
        <v>47</v>
      </c>
      <c r="C7" s="31" t="s">
        <v>93</v>
      </c>
      <c r="D7" s="31" t="s">
        <v>371</v>
      </c>
      <c r="E7" s="31" t="s">
        <v>377</v>
      </c>
      <c r="F7" s="31" t="s">
        <v>378</v>
      </c>
      <c r="G7" s="31" t="s">
        <v>379</v>
      </c>
      <c r="H7" s="31" t="s">
        <v>380</v>
      </c>
      <c r="I7" s="32" t="s">
        <v>13</v>
      </c>
      <c r="J7" s="31"/>
      <c r="K7" s="31" t="s">
        <v>79</v>
      </c>
      <c r="L7" s="31"/>
    </row>
    <row r="8" spans="1:12" ht="73.95" customHeight="1">
      <c r="A8" s="33" t="s">
        <v>381</v>
      </c>
      <c r="B8" s="33" t="s">
        <v>47</v>
      </c>
      <c r="C8" s="33" t="s">
        <v>382</v>
      </c>
      <c r="D8" s="33" t="s">
        <v>371</v>
      </c>
      <c r="E8" s="33" t="s">
        <v>383</v>
      </c>
      <c r="F8" s="33" t="s">
        <v>384</v>
      </c>
      <c r="G8" s="33" t="s">
        <v>385</v>
      </c>
      <c r="H8" s="33" t="s">
        <v>386</v>
      </c>
      <c r="I8" s="32" t="s">
        <v>13</v>
      </c>
      <c r="J8" s="33"/>
      <c r="K8" s="33" t="s">
        <v>79</v>
      </c>
      <c r="L8" s="33"/>
    </row>
    <row r="9" spans="1:12" ht="73.95" customHeight="1">
      <c r="A9" s="31" t="s">
        <v>387</v>
      </c>
      <c r="B9" s="31" t="s">
        <v>47</v>
      </c>
      <c r="C9" s="31" t="s">
        <v>388</v>
      </c>
      <c r="D9" s="31" t="s">
        <v>371</v>
      </c>
      <c r="E9" s="31" t="s">
        <v>389</v>
      </c>
      <c r="F9" s="31" t="s">
        <v>390</v>
      </c>
      <c r="G9" s="31" t="s">
        <v>391</v>
      </c>
      <c r="H9" s="31" t="s">
        <v>392</v>
      </c>
      <c r="I9" s="32" t="s">
        <v>13</v>
      </c>
      <c r="J9" s="31"/>
      <c r="K9" s="31" t="s">
        <v>117</v>
      </c>
      <c r="L9" s="31"/>
    </row>
    <row r="10" spans="1:12" ht="73.95" customHeight="1">
      <c r="A10" s="33" t="s">
        <v>393</v>
      </c>
      <c r="B10" s="33" t="s">
        <v>47</v>
      </c>
      <c r="C10" s="33" t="s">
        <v>394</v>
      </c>
      <c r="D10" s="33" t="s">
        <v>371</v>
      </c>
      <c r="E10" s="33" t="s">
        <v>395</v>
      </c>
      <c r="F10" s="33" t="s">
        <v>396</v>
      </c>
      <c r="G10" s="33" t="s">
        <v>397</v>
      </c>
      <c r="H10" s="31" t="s">
        <v>392</v>
      </c>
      <c r="I10" s="32" t="s">
        <v>13</v>
      </c>
      <c r="J10" s="33"/>
      <c r="K10" s="33" t="s">
        <v>288</v>
      </c>
      <c r="L10" s="33" t="s">
        <v>398</v>
      </c>
    </row>
    <row r="11" spans="1:12" ht="73.95" customHeight="1">
      <c r="A11" s="31" t="s">
        <v>399</v>
      </c>
      <c r="B11" s="31" t="s">
        <v>47</v>
      </c>
      <c r="C11" s="31" t="s">
        <v>400</v>
      </c>
      <c r="D11" s="31" t="s">
        <v>365</v>
      </c>
      <c r="E11" s="31" t="s">
        <v>401</v>
      </c>
      <c r="F11" s="31" t="s">
        <v>402</v>
      </c>
      <c r="G11" s="31" t="s">
        <v>403</v>
      </c>
      <c r="H11" s="31" t="s">
        <v>404</v>
      </c>
      <c r="I11" s="32" t="s">
        <v>13</v>
      </c>
      <c r="J11" s="31"/>
      <c r="K11" s="31" t="s">
        <v>79</v>
      </c>
      <c r="L11" s="31"/>
    </row>
    <row r="12" spans="1:12" ht="73.95" customHeight="1">
      <c r="A12" s="33" t="s">
        <v>405</v>
      </c>
      <c r="B12" s="33" t="s">
        <v>47</v>
      </c>
      <c r="C12" s="33" t="s">
        <v>406</v>
      </c>
      <c r="D12" s="33" t="s">
        <v>365</v>
      </c>
      <c r="E12" s="33" t="s">
        <v>407</v>
      </c>
      <c r="F12" s="33" t="s">
        <v>408</v>
      </c>
      <c r="G12" s="33" t="s">
        <v>409</v>
      </c>
      <c r="H12" s="31" t="s">
        <v>404</v>
      </c>
      <c r="I12" s="32" t="s">
        <v>13</v>
      </c>
      <c r="J12" s="33"/>
      <c r="K12" s="33" t="s">
        <v>117</v>
      </c>
      <c r="L12" s="33"/>
    </row>
    <row r="13" spans="1:12" ht="73.95" customHeight="1">
      <c r="A13" s="31" t="s">
        <v>410</v>
      </c>
      <c r="B13" s="31" t="s">
        <v>47</v>
      </c>
      <c r="C13" s="31" t="s">
        <v>411</v>
      </c>
      <c r="D13" s="31" t="s">
        <v>412</v>
      </c>
      <c r="E13" s="31" t="s">
        <v>413</v>
      </c>
      <c r="F13" s="31" t="s">
        <v>414</v>
      </c>
      <c r="G13" s="31" t="s">
        <v>415</v>
      </c>
      <c r="H13" s="31" t="s">
        <v>392</v>
      </c>
      <c r="I13" s="34" t="s">
        <v>15</v>
      </c>
      <c r="J13" s="35" t="s">
        <v>53</v>
      </c>
      <c r="K13" s="31" t="s">
        <v>248</v>
      </c>
      <c r="L13" s="31" t="s">
        <v>416</v>
      </c>
    </row>
    <row r="14" spans="1:12" ht="73.95" customHeight="1">
      <c r="A14" s="33" t="s">
        <v>417</v>
      </c>
      <c r="B14" s="33" t="s">
        <v>47</v>
      </c>
      <c r="C14" s="33" t="s">
        <v>418</v>
      </c>
      <c r="D14" s="33" t="s">
        <v>365</v>
      </c>
      <c r="E14" s="33" t="s">
        <v>419</v>
      </c>
      <c r="F14" s="33" t="s">
        <v>420</v>
      </c>
      <c r="G14" s="33" t="s">
        <v>421</v>
      </c>
      <c r="H14" s="31" t="s">
        <v>369</v>
      </c>
      <c r="I14" s="32" t="s">
        <v>13</v>
      </c>
      <c r="J14" s="33"/>
      <c r="K14" s="33" t="s">
        <v>248</v>
      </c>
      <c r="L14" s="33"/>
    </row>
    <row r="15" spans="1:12" ht="73.95" customHeight="1">
      <c r="A15" s="31" t="s">
        <v>422</v>
      </c>
      <c r="B15" s="31" t="s">
        <v>47</v>
      </c>
      <c r="C15" s="31" t="s">
        <v>423</v>
      </c>
      <c r="D15" s="31" t="s">
        <v>424</v>
      </c>
      <c r="E15" s="31" t="s">
        <v>425</v>
      </c>
      <c r="F15" s="31" t="s">
        <v>426</v>
      </c>
      <c r="G15" s="31" t="s">
        <v>427</v>
      </c>
      <c r="H15" s="31" t="s">
        <v>392</v>
      </c>
      <c r="I15" s="32" t="s">
        <v>13</v>
      </c>
      <c r="J15" s="31"/>
      <c r="K15" s="31" t="s">
        <v>295</v>
      </c>
      <c r="L15" s="31" t="s">
        <v>428</v>
      </c>
    </row>
    <row r="16" spans="1:12" ht="73.95" customHeight="1">
      <c r="A16" s="33" t="s">
        <v>429</v>
      </c>
      <c r="B16" s="33" t="s">
        <v>47</v>
      </c>
      <c r="C16" s="33" t="s">
        <v>430</v>
      </c>
      <c r="D16" s="33" t="s">
        <v>365</v>
      </c>
      <c r="E16" s="33" t="s">
        <v>431</v>
      </c>
      <c r="F16" s="33" t="s">
        <v>432</v>
      </c>
      <c r="G16" s="33" t="s">
        <v>433</v>
      </c>
      <c r="H16" s="33" t="s">
        <v>434</v>
      </c>
      <c r="I16" s="34" t="s">
        <v>15</v>
      </c>
      <c r="J16" s="36" t="s">
        <v>51</v>
      </c>
      <c r="K16" s="33" t="s">
        <v>361</v>
      </c>
      <c r="L16" s="33" t="s">
        <v>435</v>
      </c>
    </row>
    <row r="17" spans="1:12" ht="73.95" customHeight="1">
      <c r="A17" s="31" t="s">
        <v>436</v>
      </c>
      <c r="B17" s="31" t="s">
        <v>47</v>
      </c>
      <c r="C17" s="31" t="s">
        <v>437</v>
      </c>
      <c r="D17" s="31" t="s">
        <v>371</v>
      </c>
      <c r="E17" s="31" t="s">
        <v>438</v>
      </c>
      <c r="F17" s="31" t="s">
        <v>439</v>
      </c>
      <c r="G17" s="31" t="s">
        <v>440</v>
      </c>
      <c r="H17" s="31" t="s">
        <v>392</v>
      </c>
      <c r="I17" s="32" t="s">
        <v>13</v>
      </c>
      <c r="J17" s="31"/>
      <c r="K17" s="31" t="s">
        <v>295</v>
      </c>
      <c r="L17" s="31"/>
    </row>
    <row r="18" spans="1:12" ht="73.95" customHeight="1">
      <c r="A18" s="33" t="s">
        <v>441</v>
      </c>
      <c r="B18" s="33" t="s">
        <v>47</v>
      </c>
      <c r="C18" s="33" t="s">
        <v>442</v>
      </c>
      <c r="D18" s="33" t="s">
        <v>371</v>
      </c>
      <c r="E18" s="33" t="s">
        <v>443</v>
      </c>
      <c r="F18" s="33" t="s">
        <v>444</v>
      </c>
      <c r="G18" s="33" t="s">
        <v>445</v>
      </c>
      <c r="H18" s="31" t="s">
        <v>392</v>
      </c>
      <c r="I18" s="32" t="s">
        <v>13</v>
      </c>
      <c r="J18" s="33"/>
      <c r="K18" s="33" t="s">
        <v>295</v>
      </c>
      <c r="L18" s="33"/>
    </row>
    <row r="19" spans="1:12" ht="73.95" customHeight="1">
      <c r="A19" s="31" t="s">
        <v>446</v>
      </c>
      <c r="B19" s="31" t="s">
        <v>47</v>
      </c>
      <c r="C19" s="31" t="s">
        <v>447</v>
      </c>
      <c r="D19" s="31" t="s">
        <v>448</v>
      </c>
      <c r="E19" s="31" t="s">
        <v>449</v>
      </c>
      <c r="F19" s="31" t="s">
        <v>367</v>
      </c>
      <c r="G19" s="31" t="s">
        <v>450</v>
      </c>
      <c r="H19" s="31" t="s">
        <v>451</v>
      </c>
      <c r="I19" s="32" t="s">
        <v>13</v>
      </c>
      <c r="J19" s="31"/>
      <c r="K19" s="31" t="s">
        <v>211</v>
      </c>
      <c r="L19" s="31"/>
    </row>
  </sheetData>
  <mergeCells count="1">
    <mergeCell ref="A1:E1"/>
  </mergeCells>
  <dataValidations count="2">
    <dataValidation type="list" sqref="I5:I19">
      <formula1>"Pass,Fail,Blocked,Not Executed"</formula1>
    </dataValidation>
    <dataValidation type="list" sqref="J5:J19">
      <formula1>"Critical,High,Medium,Low"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15"/>
  <sheetViews>
    <sheetView showGridLines="0" workbookViewId="0">
      <selection activeCell="F8" sqref="F8"/>
    </sheetView>
  </sheetViews>
  <sheetFormatPr defaultColWidth="8.6640625" defaultRowHeight="14.4"/>
  <cols>
    <col min="1" max="1" width="8.88671875" style="14" customWidth="1"/>
    <col min="2" max="2" width="12.109375" style="15" customWidth="1"/>
    <col min="3" max="3" width="39.44140625" style="15" customWidth="1"/>
    <col min="4" max="4" width="8.109375" style="15" customWidth="1"/>
    <col min="5" max="5" width="52.6640625" style="15" customWidth="1"/>
    <col min="6" max="6" width="63.21875" style="15" customWidth="1"/>
  </cols>
  <sheetData>
    <row r="1" spans="1:6" ht="16.8">
      <c r="A1" s="72" t="s">
        <v>452</v>
      </c>
      <c r="B1" s="72"/>
      <c r="C1" s="72"/>
      <c r="D1" s="72"/>
      <c r="E1" s="72"/>
    </row>
    <row r="2" spans="1:6">
      <c r="A2" s="16"/>
    </row>
    <row r="4" spans="1:6" s="13" customFormat="1" ht="25.5" customHeight="1">
      <c r="A4" s="17" t="s">
        <v>453</v>
      </c>
      <c r="B4" s="17" t="s">
        <v>454</v>
      </c>
      <c r="C4" s="17" t="s">
        <v>45</v>
      </c>
      <c r="D4" s="17" t="s">
        <v>33</v>
      </c>
      <c r="E4" s="17" t="s">
        <v>455</v>
      </c>
      <c r="F4" s="17" t="s">
        <v>456</v>
      </c>
    </row>
    <row r="5" spans="1:6" s="13" customFormat="1" ht="67.95" customHeight="1">
      <c r="A5" s="18" t="s">
        <v>457</v>
      </c>
      <c r="B5" s="19" t="s">
        <v>104</v>
      </c>
      <c r="C5" s="19" t="s">
        <v>458</v>
      </c>
      <c r="D5" s="20" t="s">
        <v>53</v>
      </c>
      <c r="E5" s="19" t="s">
        <v>459</v>
      </c>
      <c r="F5" s="19" t="s">
        <v>460</v>
      </c>
    </row>
    <row r="6" spans="1:6" s="13" customFormat="1" ht="67.95" customHeight="1">
      <c r="A6" s="18" t="s">
        <v>461</v>
      </c>
      <c r="B6" s="19" t="s">
        <v>145</v>
      </c>
      <c r="C6" s="19" t="s">
        <v>462</v>
      </c>
      <c r="D6" s="20" t="s">
        <v>53</v>
      </c>
      <c r="E6" s="19" t="s">
        <v>463</v>
      </c>
      <c r="F6" s="19" t="s">
        <v>464</v>
      </c>
    </row>
    <row r="7" spans="1:6" s="13" customFormat="1" ht="67.95" customHeight="1">
      <c r="A7" s="18" t="s">
        <v>465</v>
      </c>
      <c r="B7" s="19" t="s">
        <v>177</v>
      </c>
      <c r="C7" s="19" t="s">
        <v>466</v>
      </c>
      <c r="D7" s="20" t="s">
        <v>53</v>
      </c>
      <c r="E7" s="19" t="s">
        <v>467</v>
      </c>
      <c r="F7" s="19" t="s">
        <v>468</v>
      </c>
    </row>
    <row r="8" spans="1:6" s="13" customFormat="1" ht="67.95" customHeight="1">
      <c r="A8" s="18" t="s">
        <v>469</v>
      </c>
      <c r="B8" s="19" t="s">
        <v>218</v>
      </c>
      <c r="C8" s="19" t="s">
        <v>470</v>
      </c>
      <c r="D8" s="20" t="s">
        <v>53</v>
      </c>
      <c r="E8" s="19" t="s">
        <v>471</v>
      </c>
      <c r="F8" s="19" t="s">
        <v>472</v>
      </c>
    </row>
    <row r="9" spans="1:6" s="13" customFormat="1" ht="67.95" customHeight="1">
      <c r="A9" s="21" t="s">
        <v>473</v>
      </c>
      <c r="B9" s="21" t="s">
        <v>226</v>
      </c>
      <c r="C9" s="21" t="s">
        <v>474</v>
      </c>
      <c r="D9" s="20" t="s">
        <v>53</v>
      </c>
      <c r="E9" s="21" t="s">
        <v>475</v>
      </c>
      <c r="F9" s="21" t="s">
        <v>476</v>
      </c>
    </row>
    <row r="10" spans="1:6" s="13" customFormat="1" ht="67.95" customHeight="1">
      <c r="A10" s="21" t="s">
        <v>477</v>
      </c>
      <c r="B10" s="21" t="s">
        <v>242</v>
      </c>
      <c r="C10" s="21" t="s">
        <v>478</v>
      </c>
      <c r="D10" s="20" t="s">
        <v>53</v>
      </c>
      <c r="E10" s="21" t="s">
        <v>479</v>
      </c>
      <c r="F10" s="21" t="s">
        <v>480</v>
      </c>
    </row>
    <row r="11" spans="1:6" s="13" customFormat="1" ht="67.95" customHeight="1">
      <c r="A11" s="21" t="s">
        <v>481</v>
      </c>
      <c r="B11" s="21" t="s">
        <v>289</v>
      </c>
      <c r="C11" s="21" t="s">
        <v>482</v>
      </c>
      <c r="D11" s="22" t="s">
        <v>51</v>
      </c>
      <c r="E11" s="21" t="s">
        <v>483</v>
      </c>
      <c r="F11" s="21" t="s">
        <v>484</v>
      </c>
    </row>
    <row r="12" spans="1:6" s="13" customFormat="1" ht="67.95" customHeight="1">
      <c r="A12" s="23" t="s">
        <v>485</v>
      </c>
      <c r="B12" s="23" t="s">
        <v>410</v>
      </c>
      <c r="C12" s="23" t="s">
        <v>486</v>
      </c>
      <c r="D12" s="20" t="s">
        <v>53</v>
      </c>
      <c r="E12" s="23" t="s">
        <v>487</v>
      </c>
      <c r="F12" s="23" t="s">
        <v>488</v>
      </c>
    </row>
    <row r="13" spans="1:6" s="13" customFormat="1" ht="67.95" customHeight="1">
      <c r="A13" s="21" t="s">
        <v>489</v>
      </c>
      <c r="B13" s="24" t="s">
        <v>429</v>
      </c>
      <c r="C13" s="24" t="s">
        <v>490</v>
      </c>
      <c r="D13" s="22" t="s">
        <v>51</v>
      </c>
      <c r="E13" s="24" t="s">
        <v>491</v>
      </c>
      <c r="F13" s="24" t="s">
        <v>492</v>
      </c>
    </row>
    <row r="14" spans="1:6">
      <c r="A14" s="25"/>
      <c r="B14" s="26"/>
      <c r="C14" s="26"/>
      <c r="D14" s="26"/>
      <c r="E14" s="26"/>
      <c r="F14" s="26"/>
    </row>
    <row r="15" spans="1:6">
      <c r="A15" s="25"/>
      <c r="B15" s="26"/>
      <c r="C15" s="26"/>
      <c r="D15" s="26"/>
      <c r="E15" s="26"/>
      <c r="F15" s="26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B2:F36"/>
  <sheetViews>
    <sheetView showGridLines="0" tabSelected="1" topLeftCell="E1" workbookViewId="0">
      <selection activeCell="C8" sqref="C8"/>
    </sheetView>
  </sheetViews>
  <sheetFormatPr defaultColWidth="8.6640625" defaultRowHeight="14.4"/>
  <cols>
    <col min="1" max="1" width="3" customWidth="1"/>
    <col min="2" max="2" width="26" customWidth="1"/>
    <col min="3" max="3" width="20" customWidth="1"/>
    <col min="4" max="5" width="46" customWidth="1"/>
    <col min="6" max="6" width="20" customWidth="1"/>
  </cols>
  <sheetData>
    <row r="2" spans="2:6" ht="18.75" customHeight="1">
      <c r="B2" s="74" t="s">
        <v>493</v>
      </c>
      <c r="C2" s="74"/>
      <c r="D2" s="74"/>
      <c r="E2" s="74"/>
      <c r="F2" s="75"/>
    </row>
    <row r="3" spans="2:6">
      <c r="B3" s="3"/>
    </row>
    <row r="5" spans="2:6">
      <c r="B5" s="4" t="s">
        <v>494</v>
      </c>
      <c r="C5" s="4" t="s">
        <v>39</v>
      </c>
      <c r="D5" s="4" t="s">
        <v>252</v>
      </c>
      <c r="E5" s="4" t="s">
        <v>47</v>
      </c>
      <c r="F5" s="5" t="s">
        <v>495</v>
      </c>
    </row>
    <row r="6" spans="2:6">
      <c r="B6" s="6" t="s">
        <v>496</v>
      </c>
      <c r="C6" s="7">
        <f>COUNTA(Signup!$A$5:$A$32)</f>
        <v>28</v>
      </c>
      <c r="D6" s="7">
        <f>COUNTA('OTP Verification'!$A$5:$A$19)</f>
        <v>15</v>
      </c>
      <c r="E6" s="7">
        <f>COUNTA(Login!$A$5:$A$19)</f>
        <v>15</v>
      </c>
      <c r="F6" s="8">
        <f>C6+D6+E6</f>
        <v>58</v>
      </c>
    </row>
    <row r="7" spans="2:6">
      <c r="B7" s="6" t="s">
        <v>13</v>
      </c>
      <c r="C7" s="7">
        <f>COUNTIF(Signup!$I$5:$I$32,"Pass")</f>
        <v>22</v>
      </c>
      <c r="D7" s="7">
        <f>COUNTIF('OTP Verification'!$I$5:$I$19,"Pass")</f>
        <v>13</v>
      </c>
      <c r="E7" s="7">
        <f>COUNTIF(Login!$I$5:$I$19,"Pass")</f>
        <v>13</v>
      </c>
      <c r="F7" s="8">
        <f>C7+D7+E7</f>
        <v>48</v>
      </c>
    </row>
    <row r="8" spans="2:6">
      <c r="B8" s="6" t="s">
        <v>15</v>
      </c>
      <c r="C8" s="7">
        <f>COUNTIF(Signup!$I$5:$I$32,"Fail")</f>
        <v>6</v>
      </c>
      <c r="D8" s="7">
        <f>COUNTIF('OTP Verification'!$I$5:$I$19,"Fail")</f>
        <v>1</v>
      </c>
      <c r="E8" s="7">
        <f>COUNTIF(Login!$I$5:$I$19,"Fail")</f>
        <v>2</v>
      </c>
      <c r="F8" s="8">
        <f>C8+D8+E8</f>
        <v>9</v>
      </c>
    </row>
    <row r="9" spans="2:6">
      <c r="B9" s="6" t="s">
        <v>19</v>
      </c>
      <c r="C9" s="7">
        <f>COUNTIF(Signup!$I$5:$I$32,"Blocked")</f>
        <v>0</v>
      </c>
      <c r="D9" s="7">
        <f>COUNTIF('OTP Verification'!$I$5:$I$19,"Blocked")</f>
        <v>0</v>
      </c>
      <c r="E9" s="7">
        <f>COUNTIF(Login!$I$5:$I$19,"Blocked")</f>
        <v>0</v>
      </c>
      <c r="F9" s="8">
        <f>C9+D9+E9</f>
        <v>0</v>
      </c>
    </row>
    <row r="10" spans="2:6">
      <c r="B10" s="6" t="s">
        <v>17</v>
      </c>
      <c r="C10" s="7">
        <f>COUNTIF(Signup!$I$5:$I$32,"Not Executed")</f>
        <v>0</v>
      </c>
      <c r="D10" s="7">
        <f>COUNTIF('OTP Verification'!$I$5:$I$19,"Not Executed")</f>
        <v>1</v>
      </c>
      <c r="E10" s="7">
        <f>COUNTIF(Login!$I$5:$I$19,"Not Executed")</f>
        <v>0</v>
      </c>
      <c r="F10" s="8">
        <f>C10+D10+E10</f>
        <v>1</v>
      </c>
    </row>
    <row r="11" spans="2:6">
      <c r="B11" s="6" t="s">
        <v>497</v>
      </c>
      <c r="C11" s="8"/>
      <c r="D11" s="8"/>
      <c r="E11" s="7"/>
      <c r="F11" s="8">
        <f>F7+F8+F9</f>
        <v>57</v>
      </c>
    </row>
    <row r="12" spans="2:6">
      <c r="B12" s="6" t="s">
        <v>498</v>
      </c>
      <c r="C12" s="8"/>
      <c r="D12" s="8"/>
      <c r="E12" s="9"/>
      <c r="F12" s="10">
        <f>IFERROR(F7/(F7+F8),"")</f>
        <v>0.84210526315789469</v>
      </c>
    </row>
    <row r="16" spans="2:6" ht="15" customHeight="1">
      <c r="B16" s="76" t="s">
        <v>499</v>
      </c>
      <c r="C16" s="76"/>
      <c r="D16" s="76"/>
      <c r="E16" s="76"/>
      <c r="F16" s="76"/>
    </row>
    <row r="17" spans="2:5" ht="26.25" customHeight="1">
      <c r="B17" s="11" t="s">
        <v>453</v>
      </c>
      <c r="C17" s="11" t="s">
        <v>454</v>
      </c>
      <c r="D17" s="11" t="s">
        <v>45</v>
      </c>
      <c r="E17" s="11" t="s">
        <v>33</v>
      </c>
    </row>
    <row r="18" spans="2:5" ht="30" customHeight="1">
      <c r="B18" s="12" t="s">
        <v>457</v>
      </c>
      <c r="C18" s="12" t="s">
        <v>104</v>
      </c>
      <c r="D18" s="12" t="s">
        <v>458</v>
      </c>
      <c r="E18" s="12" t="s">
        <v>53</v>
      </c>
    </row>
    <row r="19" spans="2:5" ht="30" customHeight="1">
      <c r="B19" s="85" t="s">
        <v>461</v>
      </c>
      <c r="C19" s="12" t="s">
        <v>145</v>
      </c>
      <c r="D19" s="12" t="s">
        <v>462</v>
      </c>
      <c r="E19" s="12" t="s">
        <v>53</v>
      </c>
    </row>
    <row r="20" spans="2:5" ht="30" customHeight="1">
      <c r="B20" s="85" t="s">
        <v>465</v>
      </c>
      <c r="C20" s="12" t="s">
        <v>177</v>
      </c>
      <c r="D20" s="12" t="s">
        <v>466</v>
      </c>
      <c r="E20" s="12" t="s">
        <v>53</v>
      </c>
    </row>
    <row r="21" spans="2:5" ht="30" customHeight="1">
      <c r="B21" s="85" t="s">
        <v>469</v>
      </c>
      <c r="C21" s="12" t="s">
        <v>218</v>
      </c>
      <c r="D21" s="12" t="s">
        <v>470</v>
      </c>
      <c r="E21" s="12" t="s">
        <v>53</v>
      </c>
    </row>
    <row r="22" spans="2:5" ht="30" customHeight="1">
      <c r="B22" s="85" t="s">
        <v>473</v>
      </c>
      <c r="C22" s="12" t="s">
        <v>226</v>
      </c>
      <c r="D22" s="12" t="s">
        <v>474</v>
      </c>
      <c r="E22" s="12" t="s">
        <v>53</v>
      </c>
    </row>
    <row r="23" spans="2:5" ht="30" customHeight="1">
      <c r="B23" s="85" t="s">
        <v>477</v>
      </c>
      <c r="C23" s="12" t="s">
        <v>242</v>
      </c>
      <c r="D23" s="12" t="s">
        <v>478</v>
      </c>
      <c r="E23" s="12" t="s">
        <v>53</v>
      </c>
    </row>
    <row r="24" spans="2:5" ht="30" customHeight="1">
      <c r="B24" s="85" t="s">
        <v>481</v>
      </c>
      <c r="C24" s="12" t="s">
        <v>289</v>
      </c>
      <c r="D24" s="12" t="s">
        <v>482</v>
      </c>
      <c r="E24" s="12" t="s">
        <v>51</v>
      </c>
    </row>
    <row r="25" spans="2:5" ht="30" customHeight="1">
      <c r="B25" s="85" t="s">
        <v>485</v>
      </c>
      <c r="C25" s="12" t="s">
        <v>410</v>
      </c>
      <c r="D25" s="12" t="s">
        <v>486</v>
      </c>
      <c r="E25" s="12" t="s">
        <v>53</v>
      </c>
    </row>
    <row r="26" spans="2:5" ht="30" customHeight="1">
      <c r="B26" s="85" t="s">
        <v>489</v>
      </c>
      <c r="C26" s="12" t="s">
        <v>429</v>
      </c>
      <c r="D26" s="12" t="s">
        <v>490</v>
      </c>
      <c r="E26" s="12" t="s">
        <v>51</v>
      </c>
    </row>
    <row r="28" spans="2:5">
      <c r="B28" s="76" t="s">
        <v>500</v>
      </c>
      <c r="C28" s="76"/>
      <c r="D28" s="76"/>
      <c r="E28" s="83"/>
    </row>
    <row r="29" spans="2:5" s="2" customFormat="1">
      <c r="B29" s="84" t="s">
        <v>33</v>
      </c>
      <c r="C29" s="84" t="s">
        <v>501</v>
      </c>
      <c r="D29" s="84" t="s">
        <v>502</v>
      </c>
    </row>
    <row r="30" spans="2:5" s="2" customFormat="1" ht="22.05" customHeight="1">
      <c r="B30" s="8" t="s">
        <v>51</v>
      </c>
      <c r="C30" s="8">
        <f>COUNTIF(Defects!$D$5:$D$13,"High")</f>
        <v>2</v>
      </c>
      <c r="D30" s="86" t="s">
        <v>506</v>
      </c>
      <c r="E30"/>
    </row>
    <row r="31" spans="2:5" ht="22.05" customHeight="1">
      <c r="B31" s="8" t="s">
        <v>53</v>
      </c>
      <c r="C31" s="8">
        <f>COUNTIF(Defects!$D$5:$D$13,"Medium")</f>
        <v>7</v>
      </c>
      <c r="D31" s="8" t="s">
        <v>503</v>
      </c>
    </row>
    <row r="32" spans="2:5" ht="22.05" customHeight="1">
      <c r="B32" s="8" t="s">
        <v>495</v>
      </c>
      <c r="C32" s="8">
        <f>SUM(C30:C31)</f>
        <v>9</v>
      </c>
      <c r="D32" s="8"/>
    </row>
    <row r="34" spans="2:5">
      <c r="B34" s="76" t="s">
        <v>504</v>
      </c>
      <c r="C34" s="76"/>
      <c r="D34" s="76"/>
      <c r="E34" s="76"/>
    </row>
    <row r="35" spans="2:5" ht="28.05" customHeight="1">
      <c r="B35" s="77" t="s">
        <v>505</v>
      </c>
      <c r="C35" s="78"/>
      <c r="D35" s="78"/>
      <c r="E35" s="79"/>
    </row>
    <row r="36" spans="2:5" ht="28.05" customHeight="1">
      <c r="B36" s="80"/>
      <c r="C36" s="81"/>
      <c r="D36" s="81"/>
      <c r="E36" s="82"/>
    </row>
  </sheetData>
  <mergeCells count="5">
    <mergeCell ref="B2:F2"/>
    <mergeCell ref="B16:F16"/>
    <mergeCell ref="B34:E34"/>
    <mergeCell ref="B35:E36"/>
    <mergeCell ref="B28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Signup</vt:lpstr>
      <vt:lpstr>OTP Verification</vt:lpstr>
      <vt:lpstr>Login</vt:lpstr>
      <vt:lpstr>Defects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2026-09-09T16:17:00Z</dcterms:created>
  <dcterms:modified xsi:type="dcterms:W3CDTF">2026-09-09T16:27:59Z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B3D2A001F2E7417A89D90FE38E7AE2BF_12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