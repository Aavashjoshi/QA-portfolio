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 tabRatio="500"/>
  </bookViews>
  <sheets>
    <sheet name="Legend" sheetId="1" r:id="rId1"/>
    <sheet name="Post Job" sheetId="2" r:id="rId2"/>
    <sheet name="Job Search" sheetId="3" r:id="rId3"/>
    <sheet name="Job Filter" sheetId="4" r:id="rId4"/>
    <sheet name="Job Detail" sheetId="5" r:id="rId5"/>
    <sheet name="Defects" sheetId="6" r:id="rId6"/>
    <sheet name="Summary" sheetId="7" r:id="rId7"/>
  </sheets>
  <definedNames>
    <definedName name="_xlnm._FilterDatabase" localSheetId="4" hidden="1">'Job Detail'!$A$4:$L$15</definedName>
    <definedName name="_xlnm._FilterDatabase" localSheetId="3" hidden="1">'Job Filter'!$A$4:$L$14</definedName>
    <definedName name="_xlnm._FilterDatabase" localSheetId="2" hidden="1">'Job Search'!$A$4:$L$16</definedName>
    <definedName name="_xlnm._FilterDatabase" localSheetId="1" hidden="1">'Post Job'!$A$4:$L$26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7" l="1"/>
  <c r="C26" i="7"/>
  <c r="C25" i="7"/>
  <c r="F10" i="7"/>
  <c r="E10" i="7"/>
  <c r="D10" i="7"/>
  <c r="C10" i="7"/>
  <c r="G10" i="7" s="1"/>
  <c r="F9" i="7"/>
  <c r="E9" i="7"/>
  <c r="D9" i="7"/>
  <c r="C9" i="7"/>
  <c r="G9" i="7" s="1"/>
  <c r="F8" i="7"/>
  <c r="G8" i="7" s="1"/>
  <c r="E8" i="7"/>
  <c r="D8" i="7"/>
  <c r="C8" i="7"/>
  <c r="F7" i="7"/>
  <c r="E7" i="7"/>
  <c r="D7" i="7"/>
  <c r="C7" i="7"/>
  <c r="G7" i="7" s="1"/>
  <c r="F6" i="7"/>
  <c r="E6" i="7"/>
  <c r="D6" i="7"/>
  <c r="G6" i="7" s="1"/>
  <c r="C6" i="7"/>
  <c r="G12" i="7" l="1"/>
  <c r="G11" i="7"/>
</calcChain>
</file>

<file path=xl/sharedStrings.xml><?xml version="1.0" encoding="utf-8"?>
<sst xmlns="http://schemas.openxmlformats.org/spreadsheetml/2006/main" count="768" uniqueCount="455">
  <si>
    <t>JOBB - JOB MODULE TEST CASES</t>
  </si>
  <si>
    <t xml:space="preserve"> THIS WORKBOOK CONTAINS 6 WORKSHEETS</t>
  </si>
  <si>
    <t>Use the sheet tabs at the bottom to review: Summary, Legend, Signup, OTP Verification, Login and Defects.</t>
  </si>
  <si>
    <t>SHEETS</t>
  </si>
  <si>
    <t>Post Job</t>
  </si>
  <si>
    <t>22 cases on the Post Job form used by recruiters, covering its nine fields and the values they should and should not accept.</t>
  </si>
  <si>
    <t>Job Search</t>
  </si>
  <si>
    <t>12 cases on the search box, covering repeated searches, special characters, letter case and what the results actually match on.</t>
  </si>
  <si>
    <t>Job Filter</t>
  </si>
  <si>
    <t>10 cases on the location and industry filters, including what happens when two options are ticked at once.</t>
  </si>
  <si>
    <t>Job Detail</t>
  </si>
  <si>
    <t>11 cases on the job detail page and the recruiter job list, checking that stored data is displayed correctly.</t>
  </si>
  <si>
    <t>Defects</t>
  </si>
  <si>
    <t>The six defects found, with what was observed and why each one matters.</t>
  </si>
  <si>
    <t>Summary</t>
  </si>
  <si>
    <t>Execution counts, the defect list and a severity breakdown. Counts update automatically.</t>
  </si>
  <si>
    <t>STATUS</t>
  </si>
  <si>
    <t>Pass</t>
  </si>
  <si>
    <t>The actual result matched the expected result.</t>
  </si>
  <si>
    <t>Fail</t>
  </si>
  <si>
    <t>The actual result did not match. A defect is raised.</t>
  </si>
  <si>
    <t>Blocked</t>
  </si>
  <si>
    <t>The case could not be run, for example because a dependency is broken.</t>
  </si>
  <si>
    <t>Not Executed</t>
  </si>
  <si>
    <t>Written but not yet run.</t>
  </si>
  <si>
    <t>SEVERITY</t>
  </si>
  <si>
    <t>High</t>
  </si>
  <si>
    <t>Data can be created or changed by someone who should not be able to, or a core action fails.</t>
  </si>
  <si>
    <t>Medium</t>
  </si>
  <si>
    <t>A rule is not enforced, or valid input is refused.</t>
  </si>
  <si>
    <t>Low</t>
  </si>
  <si>
    <t>Wording, spelling or layout.</t>
  </si>
  <si>
    <t>TECHNIQUE</t>
  </si>
  <si>
    <t>EP</t>
  </si>
  <si>
    <t>Equivalence partitioning. Inputs grouped so that one value represents the whole group.</t>
  </si>
  <si>
    <t>BVA</t>
  </si>
  <si>
    <t>Boundary value analysis. Values tested at the edge of a rule, where mistakes collect.</t>
  </si>
  <si>
    <t>Security</t>
  </si>
  <si>
    <t>Checks whether a restriction holds when the interface is bypassed.</t>
  </si>
  <si>
    <t>Data</t>
  </si>
  <si>
    <t>Checks what was stored, not only what the screen said.</t>
  </si>
  <si>
    <t>TEST CASES - POST JOB (RECRUITER)</t>
  </si>
  <si>
    <t>Test Case ID</t>
  </si>
  <si>
    <t>Module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</si>
  <si>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</si>
  <si>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</si>
  <si>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</si>
  <si>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</si>
  <si>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</si>
  <si>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</si>
  <si>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</si>
  <si>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Severity</t>
  </si>
  <si>
    <t>Technique</t>
  </si>
  <si>
    <t>Remarks</t>
  </si>
  <si>
    <t>TC_JOB_001</t>
  </si>
  <si>
    <t>Post a job with all fields filled correctly</t>
  </si>
  <si>
    <t>Logged in as a Recruiter with at least one company registered, on the Post Job page</t>
  </si>
  <si>
    <t>1. Fill in every field with valid data
2. Select a company
3. Click Post New Job</t>
  </si>
  <si>
    <t>Title QA Intern, Salary 25000, Location Kathmandu, Position 2</t>
  </si>
  <si>
    <t>The job is created and the recruiter is taken to the job list, where the new job appears</t>
  </si>
  <si>
    <t>Result : Sucessfully created job</t>
  </si>
  <si>
    <t>Positive</t>
  </si>
  <si>
    <t>TC_JOB_002</t>
  </si>
  <si>
    <t>Submit the form with every field empty</t>
  </si>
  <si>
    <t>1. Leave all fields blank
2. Click Post New Job</t>
  </si>
  <si>
    <t>all fields blank</t>
  </si>
  <si>
    <t>The form is not submitted and a validation message names the fields that are required</t>
  </si>
  <si>
    <t>Message Displayed: Please fill all the information.</t>
  </si>
  <si>
    <t>Negative</t>
  </si>
  <si>
    <t>Blocked before submission, so the local build does have client-side validation. The message is generic and does not name the missing field, which is recorded as defect JD-05.</t>
  </si>
  <si>
    <t>TC_JOB_003</t>
  </si>
  <si>
    <t>Submit with only the Title filled</t>
  </si>
  <si>
    <t>1. Enter a title only
2. Leave all other fields blank
3. Click Post New Job</t>
  </si>
  <si>
    <t>Title QA Intern, rest blank</t>
  </si>
  <si>
    <t>The job is not created and the missing fields are identified</t>
  </si>
  <si>
    <t>Same generic message as TC_JOB_002.</t>
  </si>
  <si>
    <t>TC_JOB_004</t>
  </si>
  <si>
    <t>Check the wording of the validation message</t>
  </si>
  <si>
    <t>1. Leave one field blank
2. Click Post New Job
3. Read the message carefully</t>
  </si>
  <si>
    <t>any single field blank</t>
  </si>
  <si>
    <t>The message is spelled correctly and names the field that is missing</t>
  </si>
  <si>
    <t>UI / Content</t>
  </si>
  <si>
    <t>Please fill all the information is spelled correctly, but it does not name the field. See JD-05.</t>
  </si>
  <si>
    <t>TC_JOB_005</t>
  </si>
  <si>
    <t>Salary entered as text</t>
  </si>
  <si>
    <t>1. Fill all fields, entering text in Salary
2. Click Post New Job
3. If it saves, open the job list and check what the salary shows as</t>
  </si>
  <si>
    <t>Salary = abc</t>
  </si>
  <si>
    <t>The entry is rejected, because salary must be a number</t>
  </si>
  <si>
    <t>Message Displayed: please Enter Valid salary.</t>
  </si>
  <si>
    <t>Negative / EP</t>
  </si>
  <si>
    <t>Rejected correctly. The message begins with a lower case letter while other messages begin with a capital, recorded as defect JD-06.</t>
  </si>
  <si>
    <t>TC_JOB_006</t>
  </si>
  <si>
    <t>Salary entered as a negative number</t>
  </si>
  <si>
    <t>1. Fill all fields, entering -5000 in Salary
2. Click Post New Job</t>
  </si>
  <si>
    <t>Salary = -5000</t>
  </si>
  <si>
    <t>The entry is rejected, because a salary cannot be negative</t>
  </si>
  <si>
    <t>Negative / BVA</t>
  </si>
  <si>
    <t>TC_JOB_007</t>
  </si>
  <si>
    <t>Salary entered as zero</t>
  </si>
  <si>
    <t>1. Fill all fields, entering 0 in Salary
2. Click Post New Job</t>
  </si>
  <si>
    <t>Salary = 0</t>
  </si>
  <si>
    <t>The entry is rejected, or zero is stated to mean unpaid rather than shown as a salary</t>
  </si>
  <si>
    <t>BVA (lower boundary)</t>
  </si>
  <si>
    <t>A salary of 0 is accepted while -5000 is rejected, so the check stops at the wrong boundary. Raised as JD-01.</t>
  </si>
  <si>
    <t>TC_JOB_008</t>
  </si>
  <si>
    <t>No of Position entered as zero</t>
  </si>
  <si>
    <t>1. Fill all fields, entering 0 in No of Position
2. Click Post New Job</t>
  </si>
  <si>
    <t>Position = 0</t>
  </si>
  <si>
    <t>The entry is rejected, because a job with no openings cannot be posted</t>
  </si>
  <si>
    <t>Message Displayed : Please Enter valid position.</t>
  </si>
  <si>
    <t>A position of 0 is rejected, while a salary of 0 is accepted. The two fields treat the same boundary differently, which is the point of JD-01.</t>
  </si>
  <si>
    <t>TC_JOB_009</t>
  </si>
  <si>
    <t>No of Position entered as a negative number</t>
  </si>
  <si>
    <t>1. Fill all fields, entering -3 in No of Position
2. Click Post New Job</t>
  </si>
  <si>
    <t>Position = -3</t>
  </si>
  <si>
    <t>The entry is rejected</t>
  </si>
  <si>
    <t>TC_JOB_010</t>
  </si>
  <si>
    <t>No of Position entered as text</t>
  </si>
  <si>
    <t>1. Fill all fields, entering two in No of Position
2. Click Post New Job</t>
  </si>
  <si>
    <t>Position = two</t>
  </si>
  <si>
    <t>The entry is rejected, because the number of positions must be numeric</t>
  </si>
  <si>
    <t>TC_JOB_011</t>
  </si>
  <si>
    <t>Requirements entered as a comma separated list</t>
  </si>
  <si>
    <t>1. Enter three requirements separated by commas
2. Post the job
3. Open the job detail page and check how they display</t>
  </si>
  <si>
    <t>Requirements = Manual Testing, SQL, Postman</t>
  </si>
  <si>
    <t>The three requirements are stored and displayed as separate items</t>
  </si>
  <si>
    <t>Positive / Data</t>
  </si>
  <si>
    <t>Creation confirmed. How the three requirements display on the detail page was not recorded, so that part is still to be checked.</t>
  </si>
  <si>
    <t>TC_JOB_012</t>
  </si>
  <si>
    <t>Requirements entered without any comma</t>
  </si>
  <si>
    <t>1. Enter a single requirement with no comma
2. Post the job
3. Open the job detail page</t>
  </si>
  <si>
    <t>Requirements = Manual Testing</t>
  </si>
  <si>
    <t>The single requirement is stored and displayed correctly</t>
  </si>
  <si>
    <t>Positive / BVA</t>
  </si>
  <si>
    <t>TC_JOB_013</t>
  </si>
  <si>
    <t>Requirements entered with spaces after the commas</t>
  </si>
  <si>
    <t>1. Enter requirements with a space after each comma
2. Post the job
3. Check the job detail page</t>
  </si>
  <si>
    <t>Requirements = SQL , Postman , JIRA</t>
  </si>
  <si>
    <t>Extra spaces are trimmed and each requirement displays cleanly</t>
  </si>
  <si>
    <t>Negative / Data</t>
  </si>
  <si>
    <t>Creation confirmed. Whether the extra spaces were trimmed was not recorded.</t>
  </si>
  <si>
    <t>TC_JOB_014</t>
  </si>
  <si>
    <t>Very long text in the Title field</t>
  </si>
  <si>
    <t>1. Paste around 300 characters into Title
2. Fill the other fields
3. Post the job
4. Open the job list and the job detail page</t>
  </si>
  <si>
    <t>Title of about 300 characters</t>
  </si>
  <si>
    <t>Either a maximum length is enforced, or the long title displays without breaking the page layout</t>
  </si>
  <si>
    <t>BVA (upper boundary)</t>
  </si>
  <si>
    <t>No maximum length is enforced. Whether a 300 character title breaks the layout of the job card was not recorded.</t>
  </si>
  <si>
    <t>TC_JOB_015</t>
  </si>
  <si>
    <t>Leading and trailing spaces in the Title</t>
  </si>
  <si>
    <t>1. Enter a title with spaces before and after it
2. Post the job
3. Check how the title appears in the job list</t>
  </si>
  <si>
    <t>Title = '   QA Intern   '</t>
  </si>
  <si>
    <t>The spaces are trimmed before the title is stored</t>
  </si>
  <si>
    <t>Creation confirmed. Whether the surrounding spaces were trimmed was not recorded. TC_JOB_016 suggests the field is trimmed before it is checked.</t>
  </si>
  <si>
    <t>TC_JOB_016</t>
  </si>
  <si>
    <t>Title containing only spaces</t>
  </si>
  <si>
    <t>1. Type several spaces in Title
2. Fill the other fields
3. Click Post New Job</t>
  </si>
  <si>
    <t>Title = '     '</t>
  </si>
  <si>
    <t>The entry is rejected, because spaces alone are not a title</t>
  </si>
  <si>
    <t>Message Displayed : Please Enter valid Title.</t>
  </si>
  <si>
    <t>Spaces alone are rejected, so the blank check trims the value first rather than only testing for an empty string.</t>
  </si>
  <si>
    <t>TC_JOB_017</t>
  </si>
  <si>
    <t>HTML entered in the Description field</t>
  </si>
  <si>
    <t>1. Enter an HTML tag in Description
2. Post the job
3. Open the job detail page and see how it renders</t>
  </si>
  <si>
    <t>Description = &lt;b&gt;Urgent hiring&lt;/b&gt;</t>
  </si>
  <si>
    <t>The text is displayed exactly as typed, not rendered as HTML</t>
  </si>
  <si>
    <t xml:space="preserve">Result : Sucessfully created job as entered </t>
  </si>
  <si>
    <t>Stored as entered. Confirm on the detail page that the tag shows as text and does not render as bold.</t>
  </si>
  <si>
    <t>TC_JOB_018</t>
  </si>
  <si>
    <t>Post a job without selecting a company</t>
  </si>
  <si>
    <t>1. Fill every field except the company
2. Click Post New Job</t>
  </si>
  <si>
    <t>company not selected</t>
  </si>
  <si>
    <t>The job is not created and the company is identified as required</t>
  </si>
  <si>
    <t>Message Displayed : Please Enter the company name .</t>
  </si>
  <si>
    <t>TC_JOB_019</t>
  </si>
  <si>
    <t>Open Post Job with no company registered</t>
  </si>
  <si>
    <t>Logged in as a Recruiter who has not registered any company</t>
  </si>
  <si>
    <t>1. Go to the Post Job page
2. Open the company dropdown
3. Try to post a job</t>
  </si>
  <si>
    <t>no company on the account</t>
  </si>
  <si>
    <t>The page explains that a company must be registered first, and does not break</t>
  </si>
  <si>
    <t>Negative / Error handling</t>
  </si>
  <si>
    <t>The page handles an account with no company and shows the same message rather than breaking.</t>
  </si>
  <si>
    <t>TC_JOB_020</t>
  </si>
  <si>
    <t>Post two jobs with identical details</t>
  </si>
  <si>
    <t>1. Post a job
2. Post a second job with exactly the same details
3. Check the job list</t>
  </si>
  <si>
    <t>the same job posted twice</t>
  </si>
  <si>
    <t>The behaviour is defined, either the duplicate is prevented or both are listed clearly</t>
  </si>
  <si>
    <t>Duplicates are allowed and both postings appear. Not treated as a defect, but worth raising as a product question.</t>
  </si>
  <si>
    <t>TC_JOB_021</t>
  </si>
  <si>
    <t>Job appears on the jobseeker side after posting</t>
  </si>
  <si>
    <t>A job has just been posted by the recruiter</t>
  </si>
  <si>
    <t>1. Log out and log in as a Jobseeker
2. Open the job list
3. Find the newly posted job</t>
  </si>
  <si>
    <t>the job created in TC_JOB_001</t>
  </si>
  <si>
    <t>The job is visible to jobseekers with the correct title, salary and location</t>
  </si>
  <si>
    <t>Result : Job is visible to sb seeker with correct details</t>
  </si>
  <si>
    <t>Positive / End to end</t>
  </si>
  <si>
    <t>Confirms the data reached the database, not only that a success message appeared.</t>
  </si>
  <si>
    <t>TC_JOB_022</t>
  </si>
  <si>
    <t>Navigate away without saving</t>
  </si>
  <si>
    <t>1. Fill in a few fields
2. Navigate away without clicking Post New Job
3. Open the job list</t>
  </si>
  <si>
    <t>partially filled form</t>
  </si>
  <si>
    <t>No job is created</t>
  </si>
  <si>
    <t xml:space="preserve">Result : No job Created </t>
  </si>
  <si>
    <t>TEST CASES - JOB SEARCH (JOBSEEKER)</t>
  </si>
  <si>
    <t>TC_SRC_001</t>
  </si>
  <si>
    <t>Search</t>
  </si>
  <si>
    <t>Search for a job title that exists</t>
  </si>
  <si>
    <t>Logged in as a Jobseeker, with several jobs already posted</t>
  </si>
  <si>
    <t>1. Type a job title in the search box
2. Submit the search
3. Check the results</t>
  </si>
  <si>
    <t>keyword = Developer</t>
  </si>
  <si>
    <t>Jobs whose title matches the keyword are listed, and the result count is shown</t>
  </si>
  <si>
    <t>Result : Developer jobs are listed</t>
  </si>
  <si>
    <t>TC_SRC_002</t>
  </si>
  <si>
    <t>Search for a keyword that matches nothing</t>
  </si>
  <si>
    <t>1. Search for a word that appears in no job
2. Check the screen</t>
  </si>
  <si>
    <t>keyword = zzzzqqqq</t>
  </si>
  <si>
    <t>An empty result is shown with a message, and the page does not break</t>
  </si>
  <si>
    <t>Result : Empty screen with no any job</t>
  </si>
  <si>
    <t>The screen is empty with no message, so the user cannot tell whether the search ran or the page failed. Raised as JD-03.</t>
  </si>
  <si>
    <t>TC_SRC_003</t>
  </si>
  <si>
    <t>Run a second search without leaving the page</t>
  </si>
  <si>
    <t>1. Search for one keyword and note the results
2. Without reloading, clear the box and search for a different keyword
3. Compare the results with the first search</t>
  </si>
  <si>
    <t>first Developer, then Tester</t>
  </si>
  <si>
    <t>The results update to match the second keyword</t>
  </si>
  <si>
    <t>Result : First Developer job are listed then Tester are listed.</t>
  </si>
  <si>
    <t>TC_SRC_004</t>
  </si>
  <si>
    <t>Search with an empty keyword</t>
  </si>
  <si>
    <t>1. Leave the search box empty
2. Submit the search</t>
  </si>
  <si>
    <t>keyword blank</t>
  </si>
  <si>
    <t>All jobs are listed, or the user is told to enter a keyword</t>
  </si>
  <si>
    <t>EP (boundary)</t>
  </si>
  <si>
    <t>An empty keyword returns nothing at all. It should either list every job or ask for a keyword. Raised as JD-02.</t>
  </si>
  <si>
    <t>TC_SRC_005</t>
  </si>
  <si>
    <t>Search using different letter case</t>
  </si>
  <si>
    <t>1. Search for a keyword in lower case and note the count
2. Search for the same word in capitals
3. Compare the counts</t>
  </si>
  <si>
    <t>developer, then DEVELOPER</t>
  </si>
  <si>
    <t>Both searches return the same jobs, because search should ignore letter case</t>
  </si>
  <si>
    <t>TC_SRC_006</t>
  </si>
  <si>
    <t>Search using a word from the description only</t>
  </si>
  <si>
    <t>1. Pick a word that appears in a job description but not in its title
2. Search for it
3. Check which jobs are returned</t>
  </si>
  <si>
    <t>a word from the description</t>
  </si>
  <si>
    <t>Matching jobs are returned, and it is clear to the user why each one matched</t>
  </si>
  <si>
    <t>Result : no jobs are displayed</t>
  </si>
  <si>
    <t>Search matches the title only, so a job is not found by a word that appears in its description. Raised as JD-04, which may be closed as working as designed.</t>
  </si>
  <si>
    <t>TC_SRC_007</t>
  </si>
  <si>
    <t>Search using a bracket or other special character</t>
  </si>
  <si>
    <t>1. Type an opening bracket in the search box
2. Submit the search
3. Check the screen and the browser network response</t>
  </si>
  <si>
    <t>keyword = (</t>
  </si>
  <si>
    <t>The search runs safely and either returns no results or handles the character, without an error</t>
  </si>
  <si>
    <t>Negative / Security</t>
  </si>
  <si>
    <t>TC_SRC_008</t>
  </si>
  <si>
    <t>Search with leading and trailing spaces</t>
  </si>
  <si>
    <t>1. Search for a keyword with spaces before and after it
2. Compare the count with the same search without spaces</t>
  </si>
  <si>
    <t>'  Developer  '</t>
  </si>
  <si>
    <t>Spaces are trimmed and both searches return the same jobs</t>
  </si>
  <si>
    <t>TC_SRC_009</t>
  </si>
  <si>
    <t>Search with a very long keyword</t>
  </si>
  <si>
    <t>1. Paste around 500 characters into the search box
2. Submit the search</t>
  </si>
  <si>
    <t>keyword of about 500 characters</t>
  </si>
  <si>
    <t>The search completes and returns no results, without an error or a long delay</t>
  </si>
  <si>
    <t>A 500 character keyword returns nothing, with no error and no delay.</t>
  </si>
  <si>
    <t>TC_SRC_010</t>
  </si>
  <si>
    <t>Search from the home page</t>
  </si>
  <si>
    <t>Logged in as a Jobseeker, on the home page</t>
  </si>
  <si>
    <t>1. Use the search box on the home page
2. Submit
3. Check where the user lands and what is shown</t>
  </si>
  <si>
    <t>The user is taken to the results page and the keyword is applied</t>
  </si>
  <si>
    <t>Positive / Navigation</t>
  </si>
  <si>
    <t>TC_SRC_011</t>
  </si>
  <si>
    <t>Return to the results page using the back button</t>
  </si>
  <si>
    <t>A search has been run and a job has been opened from the results</t>
  </si>
  <si>
    <t>1. Run a search
2. Open a job from the results
3. Press the browser back button</t>
  </si>
  <si>
    <t>The results for the same keyword are shown again</t>
  </si>
  <si>
    <t>TC_SRC_012</t>
  </si>
  <si>
    <t>Result count matches the number of jobs shown</t>
  </si>
  <si>
    <t>1. Run a search
2. Read the number shown in the heading
3. Count the job cards on the page</t>
  </si>
  <si>
    <t>The count in the heading matches the number of cards displayed</t>
  </si>
  <si>
    <t xml:space="preserve">Result : Count matches </t>
  </si>
  <si>
    <t>TC_FLT_001</t>
  </si>
  <si>
    <t>Filter</t>
  </si>
  <si>
    <t>Filter by a single location</t>
  </si>
  <si>
    <t>1. Tick one location in the filter                                2. Check the jobs listed</t>
  </si>
  <si>
    <t>Location = Kathmandu</t>
  </si>
  <si>
    <t>Only jobs in that location are shown</t>
  </si>
  <si>
    <t>Result : jobs only in kathmandu are shown</t>
  </si>
  <si>
    <t>TC_FLT_002</t>
  </si>
  <si>
    <t>Filter by two locations at once</t>
  </si>
  <si>
    <t>1. Tick two different locations
2. Check the jobs listed</t>
  </si>
  <si>
    <t>Kathmandu and Lalitpur</t>
  </si>
  <si>
    <t>Jobs from both locations are shown, because ticking more options should widen the results</t>
  </si>
  <si>
    <t>Result : jobs from both kathmandu and Lalitpur are shown</t>
  </si>
  <si>
    <t>Positive / EP</t>
  </si>
  <si>
    <t>TC_FLT_003</t>
  </si>
  <si>
    <t>Filter by a single industry</t>
  </si>
  <si>
    <t>1. Tick one industry option
2. Check the jobs listed</t>
  </si>
  <si>
    <t>Industry = Frontend Developer</t>
  </si>
  <si>
    <t>Only matching jobs are shown</t>
  </si>
  <si>
    <t>Result : Jobs with frontend developer are shown</t>
  </si>
  <si>
    <t>TC_FLT_004</t>
  </si>
  <si>
    <t>Filter by a location and an industry together</t>
  </si>
  <si>
    <t>1. Tick one location and one industry
2. Check the jobs listed</t>
  </si>
  <si>
    <t>Kathmandu and Frontend Developer</t>
  </si>
  <si>
    <t>Only jobs matching both are shown</t>
  </si>
  <si>
    <t>Result : Jobs of frontend developer in kathmandu  are shown</t>
  </si>
  <si>
    <t>TC_FLT_005</t>
  </si>
  <si>
    <t>Filter for a location with no jobs</t>
  </si>
  <si>
    <t>1. Tick a location that has no jobs posted
2. Check the screen</t>
  </si>
  <si>
    <t>Location = USA</t>
  </si>
  <si>
    <t>Same empty state as TC_SRC_002, with no message telling the user that nothing matched. Covered by JD-03.</t>
  </si>
  <si>
    <t>TC_FLT_006</t>
  </si>
  <si>
    <t>Clear the filters</t>
  </si>
  <si>
    <t>1. Apply one or more filters
2. Click the clear option
3. Check the jobs listed and the checkboxes</t>
  </si>
  <si>
    <t>-</t>
  </si>
  <si>
    <t>All jobs are listed again and every checkbox is cleared</t>
  </si>
  <si>
    <t xml:space="preserve">Result : all jobs are listed </t>
  </si>
  <si>
    <t>TC_FLT_007</t>
  </si>
  <si>
    <t>Untick a filter that was applied</t>
  </si>
  <si>
    <t>1. Tick a location and note the results
2. Untick the same location
3. Check the results</t>
  </si>
  <si>
    <t>The results return to the unfiltered list</t>
  </si>
  <si>
    <t>Result : all jobs are listed after untick</t>
  </si>
  <si>
    <t>TC_FLT_008</t>
  </si>
  <si>
    <t>Filter for a location that is not in the list</t>
  </si>
  <si>
    <t>Logged in as a Jobseeker, with a job posted in a location that does not appear in the filter</t>
  </si>
  <si>
    <t>1. Post or find a job in a location such as Pokhara
2. Open the filter list and look for that location</t>
  </si>
  <si>
    <t>Location = Pokhara</t>
  </si>
  <si>
    <t>Every location that has jobs can be filtered on</t>
  </si>
  <si>
    <t>Result : jobs only in pokhara are shown</t>
  </si>
  <si>
    <t>Data / EP</t>
  </si>
  <si>
    <t>TC_FLT_009</t>
  </si>
  <si>
    <t>Filter matches the location field only</t>
  </si>
  <si>
    <t>1. Find a job posted in one city whose description mentions a different city
2. Filter by the city in the description
3. Check whether that job appears</t>
  </si>
  <si>
    <t>a Pokhara job whose description mentions Kathmandu</t>
  </si>
  <si>
    <t>The job appears only under its own location, not under a city mentioned in the text</t>
  </si>
  <si>
    <t>TC_FLT_010</t>
  </si>
  <si>
    <t>Use a filter and a search keyword together</t>
  </si>
  <si>
    <t>1. Enter a search keyword
2. Tick a location filter
3. Check the results</t>
  </si>
  <si>
    <t>keyword Developer and Location Kathmandu</t>
  </si>
  <si>
    <t>The behaviour is defined and consistent, whether the two combine or the later one replaces the earlier</t>
  </si>
  <si>
    <t>Result : Jobs of developer in kathmandu  are shown</t>
  </si>
  <si>
    <t>TEST CASES - JOB DETAIL AND RECRUITER JOB LIST</t>
  </si>
  <si>
    <t>TC_JDT_001</t>
  </si>
  <si>
    <t>Open a job from the list</t>
  </si>
  <si>
    <t>1. Click a job card in the list
2. Compare the detail page with the card</t>
  </si>
  <si>
    <t>any listed job</t>
  </si>
  <si>
    <t>The detail page opens and the title, salary, location and job type match the card</t>
  </si>
  <si>
    <t>Result : Details Match</t>
  </si>
  <si>
    <t>TC_JDT_002</t>
  </si>
  <si>
    <t>Salary displays with its unit</t>
  </si>
  <si>
    <t>1. Open a job
2. Read the salary as it is displayed</t>
  </si>
  <si>
    <t>Salary = 25000</t>
  </si>
  <si>
    <t>The salary is shown with a currency or a unit, so the figure is not ambiguous</t>
  </si>
  <si>
    <t>Confirm that the salary carries a currency or a unit, so the figure cannot be read the wrong way.</t>
  </si>
  <si>
    <t>TC_JDT_003</t>
  </si>
  <si>
    <t>Number of positions displays correctly</t>
  </si>
  <si>
    <t>A job posted with two positions</t>
  </si>
  <si>
    <t>1. Open that job
2. Check the number of positions shown</t>
  </si>
  <si>
    <t>Position = 2</t>
  </si>
  <si>
    <t>The value shown matches what was entered</t>
  </si>
  <si>
    <t>TC_JDT_004</t>
  </si>
  <si>
    <t>Open a job using an ID that does not exist</t>
  </si>
  <si>
    <t>Logged in as a Jobseeker</t>
  </si>
  <si>
    <t>1. Take a job URL and change the ID to one that does not exist
2. Load the page</t>
  </si>
  <si>
    <t>a job ID that does not exist</t>
  </si>
  <si>
    <t>A clear not found message is shown and the page does not break</t>
  </si>
  <si>
    <t>Result : This page doesn’t Exist</t>
  </si>
  <si>
    <t>TC_JDT_005</t>
  </si>
  <si>
    <t>Open a job using an invalid ID format</t>
  </si>
  <si>
    <t>1. Replace the job ID in the URL with a short word
2. Load the page
3. Wait and watch the screen</t>
  </si>
  <si>
    <t>job ID = abc</t>
  </si>
  <si>
    <t>A clear error is shown promptly, and the page does not hang</t>
  </si>
  <si>
    <t>An invalid ID returns a clear message promptly rather than leaving the page loading.</t>
  </si>
  <si>
    <t>TC_JDT_006</t>
  </si>
  <si>
    <t>Posted date is shown and is correct</t>
  </si>
  <si>
    <t>A job posted today</t>
  </si>
  <si>
    <t>1. Open the job
2. Check the posted date or the days ago value</t>
  </si>
  <si>
    <t>the job from TC_JOB_001</t>
  </si>
  <si>
    <t>The date reflects when the job was actually posted</t>
  </si>
  <si>
    <t xml:space="preserve">Result : page opens </t>
  </si>
  <si>
    <t>The recorded result confirms the page opens but not whether the posted date is correct. Re-run and record the date shown against the date the job was posted.</t>
  </si>
  <si>
    <t>TC_JDT_007</t>
  </si>
  <si>
    <t>Company details appear on the job</t>
  </si>
  <si>
    <t>1. Open a job
2. Check the company name and logo</t>
  </si>
  <si>
    <t>The correct company is shown for that job</t>
  </si>
  <si>
    <t>TC_JDT_008</t>
  </si>
  <si>
    <t>Recruiter Jobs</t>
  </si>
  <si>
    <t>Recruiter sees only their own jobs</t>
  </si>
  <si>
    <t>Two recruiter accounts exist, each with jobs posted</t>
  </si>
  <si>
    <t>1. Log in as the first recruiter
2. Open the job list
3. Check whether any job posted by the other recruiter appears</t>
  </si>
  <si>
    <t>two recruiter accounts</t>
  </si>
  <si>
    <t>Only the logged in recruiter's own jobs are listed</t>
  </si>
  <si>
    <t>Result : Only loggedin recruiter jobs are listed</t>
  </si>
  <si>
    <t>Security / Data</t>
  </si>
  <si>
    <t>TC_JDT_009</t>
  </si>
  <si>
    <t>Recruiter job list is sorted newest first</t>
  </si>
  <si>
    <t>A recruiter with at least three jobs posted at different times</t>
  </si>
  <si>
    <t>1. Open the recruiter job list
2. Compare the order against the posted dates</t>
  </si>
  <si>
    <t>three jobs posted on different days</t>
  </si>
  <si>
    <t>The newest job appears at the top</t>
  </si>
  <si>
    <t>Result : The newest job appears at top</t>
  </si>
  <si>
    <t>Newest first ordering works. The sort problem expected from the published code is not present in this build.</t>
  </si>
  <si>
    <t>TC_JDT_010</t>
  </si>
  <si>
    <t>Recruiter with no jobs opens the job list</t>
  </si>
  <si>
    <t>A newly registered recruiter with no jobs posted</t>
  </si>
  <si>
    <t>1. Open the recruiter job list
2. Check the screen</t>
  </si>
  <si>
    <t>no jobs on the account</t>
  </si>
  <si>
    <t>An empty state message is shown and the page does not break</t>
  </si>
  <si>
    <t>Result : The emply page with add job button</t>
  </si>
  <si>
    <t>TC_JDT_011</t>
  </si>
  <si>
    <t>Number of applicants shown is correct</t>
  </si>
  <si>
    <t>A job that has received two applications</t>
  </si>
  <si>
    <t>1. Open the recruiter job list
2. Check the applicant count against the applicants page</t>
  </si>
  <si>
    <t>a job with two applicants</t>
  </si>
  <si>
    <t>The count matches the number of applicants actually listed</t>
  </si>
  <si>
    <t>Result : The Count mathes the no of applicant in the job</t>
  </si>
  <si>
    <t>DEFECT LOG - JOB MODULE</t>
  </si>
  <si>
    <t>Defect ID</t>
  </si>
  <si>
    <t>Defect Summary</t>
  </si>
  <si>
    <t>Observed Behaviour</t>
  </si>
  <si>
    <t>Why It Matters</t>
  </si>
  <si>
    <t>JD-01</t>
  </si>
  <si>
    <t>Salary of zero is allowed, but a minus salary is blocked</t>
  </si>
  <si>
    <t>A salary of -5000 is blocked. A salary of 0 is saved and the job goes live.</t>
  </si>
  <si>
    <t>The check blocks anything below zero, but not zero itself. So it stops one value too early. A job with zero salary is shown to jobseekers with no explanation.</t>
  </si>
  <si>
    <t>JD-02</t>
  </si>
  <si>
    <t>An empty search shows no jobs at all</t>
  </si>
  <si>
    <t>Pressing search with the box empty gives an empty screen. No jobs are listed.</t>
  </si>
  <si>
    <t>An empty search should show all jobs, or ask the user to type something. Showing nothing makes a working site look broken. It is easy to hit by pressing enter in an empty box.</t>
  </si>
  <si>
    <t>JD-03</t>
  </si>
  <si>
    <t>No message when a search or filter finds nothing</t>
  </si>
  <si>
    <t>A word that matches no job, and a location with no jobs, both leave an empty area with no text.</t>
  </si>
  <si>
    <t xml:space="preserve">The user cannot tell if nothing matched or the page failed to load. One line saying no jobs found would fix it. </t>
  </si>
  <si>
    <t>JD-04</t>
  </si>
  <si>
    <t>Search does not look at the job description</t>
  </si>
  <si>
    <t>Searching for a word that is in a job description, but not in its title, finds nothing.</t>
  </si>
  <si>
    <t>A jobseeker looking for a skill named in the description will not find the job. The team may have done this on purpose to keep results tight.</t>
  </si>
  <si>
    <t>JD-05</t>
  </si>
  <si>
    <t>The message does not say which field is missing</t>
  </si>
  <si>
    <t>Leaving any field empty gives Please fill all the information. The same message shows whether one field or all nine are empty.</t>
  </si>
  <si>
    <t>On a form with nine fields, the user has to hunt for the one they missed. Naming the field, or marking it on the form, would remove the guesswork.</t>
  </si>
  <si>
    <t>JD-06</t>
  </si>
  <si>
    <t>Messages do not always start with a capital letter</t>
  </si>
  <si>
    <t>please Enter Valid salary starts with a small letter. Please Enter valid position and Please Enter valid Title start with a capital.</t>
  </si>
  <si>
    <t>Small differences like this stand out on a page where the user is already stuck. Cheap to fix, and worth listing so all the messages get corrected together.</t>
  </si>
  <si>
    <t>EXECUTION SUMMARY - JOB MODULE</t>
  </si>
  <si>
    <t>Metric</t>
  </si>
  <si>
    <t>Total</t>
  </si>
  <si>
    <t>Total test cases</t>
  </si>
  <si>
    <t>Executed so far</t>
  </si>
  <si>
    <t>Pass rate (of executed)</t>
  </si>
  <si>
    <t>DEFECTS FOUND</t>
  </si>
  <si>
    <t>Test Case</t>
  </si>
  <si>
    <t>BY SEVERITY</t>
  </si>
  <si>
    <t>Count</t>
  </si>
  <si>
    <t>Defect IDs</t>
  </si>
  <si>
    <t>JD-01, JD-02</t>
  </si>
  <si>
    <t>JD-03, JD-04, JD-05, JD-06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</si>
</sst>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4">
    <font>
      <sz val="11"/>
      <color theme="1"/>
      <name val="Calibri"/>
      <family val="2"/>
      <charset val="1"/>
    </font>
    <font>
      <b/>
      <sz val="13"/>
      <color rgb="FF1F4E79"/>
      <name val="Arial"/>
      <family val="2"/>
      <charset val="1"/>
    </font>
    <font>
      <b/>
      <sz val="11"/>
      <color rgb="FF1F1F1F"/>
      <name val="Arial"/>
      <family val="2"/>
      <charset val="1"/>
    </font>
    <font>
      <b/>
      <sz val="10"/>
      <color rgb="FF1F1F1F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Aerial"/>
      <charset val="1"/>
    </font>
    <font>
      <b/>
      <sz val="10"/>
      <color rgb="FFFFFFFF"/>
      <name val="Aerial"/>
      <charset val="1"/>
    </font>
    <font>
      <sz val="10"/>
      <name val="Aerial"/>
      <charset val="1"/>
    </font>
  </fonts>
  <fills count="12">
    <fill>
      <patternFill patternType="none"/>
    </fill>
    <fill>
      <patternFill patternType="gray125"/>
    </fill>
    <fill>
      <patternFill patternType="solid">
        <fgColor theme="6"/>
        <bgColor rgb="FF969696"/>
      </patternFill>
    </fill>
    <fill>
      <patternFill patternType="solid">
        <fgColor rgb="FFFFD966"/>
        <bgColor rgb="FFF4C7C3"/>
      </patternFill>
    </fill>
    <fill>
      <patternFill patternType="solid">
        <fgColor rgb="FFFFF2CC"/>
        <bgColor rgb="FFFCE4D6"/>
      </patternFill>
    </fill>
    <fill>
      <patternFill patternType="solid">
        <fgColor theme="0"/>
        <bgColor rgb="FFF2F7FB"/>
      </patternFill>
    </fill>
    <fill>
      <patternFill patternType="solid">
        <fgColor rgb="FF1F4E79"/>
        <bgColor rgb="FF1F497D"/>
      </patternFill>
    </fill>
    <fill>
      <patternFill patternType="solid">
        <fgColor rgb="FFC6E0B4"/>
        <bgColor rgb="FFBFBFBF"/>
      </patternFill>
    </fill>
    <fill>
      <patternFill patternType="solid">
        <fgColor rgb="FFF2F7FB"/>
        <bgColor rgb="FFFFFFFF"/>
      </patternFill>
    </fill>
    <fill>
      <patternFill patternType="solid">
        <fgColor rgb="FFF4C7C3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1F4E79"/>
      </patternFill>
    </fill>
  </fills>
  <borders count="5">
    <border>
      <left/>
      <right/>
      <top/>
      <bottom/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0" borderId="0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6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4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5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top" wrapText="1"/>
    </xf>
    <xf numFmtId="0" fontId="5" fillId="7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8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0" fillId="5" borderId="0" xfId="0" applyFill="1"/>
    <xf numFmtId="0" fontId="9" fillId="11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6" fillId="4" borderId="3" xfId="0" applyFont="1" applyFill="1" applyBorder="1" applyAlignment="1">
      <alignment vertical="top" wrapText="1"/>
    </xf>
    <xf numFmtId="0" fontId="11" fillId="0" borderId="0" xfId="0" applyFont="1"/>
    <xf numFmtId="0" fontId="12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top" wrapText="1"/>
    </xf>
    <xf numFmtId="0" fontId="13" fillId="5" borderId="3" xfId="0" applyFont="1" applyFill="1" applyBorder="1" applyAlignment="1">
      <alignment vertical="top" wrapText="1"/>
    </xf>
    <xf numFmtId="0" fontId="8" fillId="6" borderId="4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/>
    <xf numFmtId="164" fontId="6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10" borderId="4" xfId="0" applyFont="1" applyFill="1" applyBorder="1"/>
    <xf numFmtId="0" fontId="5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4D6"/>
      <rgbColor rgb="FF99CCFF"/>
      <rgbColor rgb="FFFF99CC"/>
      <rgbColor rgb="FFCC99FF"/>
      <rgbColor rgb="FFF4C7C3"/>
      <rgbColor rgb="FF3366FF"/>
      <rgbColor rgb="FF33CCCC"/>
      <rgbColor rgb="FF9BBB59"/>
      <rgbColor rgb="FFFFD966"/>
      <rgbColor rgb="FFBF90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1F497D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C32"/>
  <sheetViews>
    <sheetView showGridLines="0" tabSelected="1" zoomScaleNormal="100" workbookViewId="0">
      <selection activeCell="C28" sqref="C28"/>
    </sheetView>
  </sheetViews>
  <sheetFormatPr defaultColWidth="8.6640625" defaultRowHeight="14.4"/>
  <cols>
    <col min="2" max="2" width="24" customWidth="1"/>
    <col min="3" max="3" width="96" customWidth="1"/>
  </cols>
  <sheetData>
    <row r="2" spans="2:3" ht="16.5" customHeight="1">
      <c r="B2" s="8" t="s">
        <v>0</v>
      </c>
      <c r="C2" s="8"/>
    </row>
    <row r="3" spans="2:3" ht="15" customHeight="1">
      <c r="B3" s="7" t="s">
        <v>1</v>
      </c>
      <c r="C3" s="7"/>
    </row>
    <row r="4" spans="2:3" ht="14.25" customHeight="1">
      <c r="B4" s="6" t="s">
        <v>2</v>
      </c>
      <c r="C4" s="6"/>
    </row>
    <row r="5" spans="2:3" ht="14.25" customHeight="1">
      <c r="B5" s="9"/>
      <c r="C5" s="9"/>
    </row>
    <row r="6" spans="2:3" ht="14.25" customHeight="1">
      <c r="B6" s="10" t="s">
        <v>3</v>
      </c>
    </row>
    <row r="7" spans="2:3" ht="31.5" customHeight="1">
      <c r="B7" s="11" t="s">
        <v>4</v>
      </c>
      <c r="C7" s="12" t="s">
        <v>5</v>
      </c>
    </row>
    <row r="8" spans="2:3" ht="31.5" customHeight="1">
      <c r="B8" s="11" t="s">
        <v>6</v>
      </c>
      <c r="C8" s="12" t="s">
        <v>7</v>
      </c>
    </row>
    <row r="9" spans="2:3" ht="31.5" customHeight="1">
      <c r="B9" s="11" t="s">
        <v>8</v>
      </c>
      <c r="C9" s="12" t="s">
        <v>9</v>
      </c>
    </row>
    <row r="10" spans="2:3" ht="31.5" customHeight="1">
      <c r="B10" s="11" t="s">
        <v>10</v>
      </c>
      <c r="C10" s="12" t="s">
        <v>11</v>
      </c>
    </row>
    <row r="11" spans="2:3" ht="18" customHeight="1">
      <c r="B11" s="11" t="s">
        <v>12</v>
      </c>
      <c r="C11" s="12" t="s">
        <v>13</v>
      </c>
    </row>
    <row r="12" spans="2:3" ht="18" customHeight="1">
      <c r="B12" s="11" t="s">
        <v>14</v>
      </c>
      <c r="C12" s="12" t="s">
        <v>15</v>
      </c>
    </row>
    <row r="14" spans="2:3" ht="14.25" customHeight="1">
      <c r="B14" s="10" t="s">
        <v>16</v>
      </c>
    </row>
    <row r="15" spans="2:3" ht="18" customHeight="1">
      <c r="B15" s="11" t="s">
        <v>17</v>
      </c>
      <c r="C15" s="12" t="s">
        <v>18</v>
      </c>
    </row>
    <row r="16" spans="2:3" ht="18" customHeight="1">
      <c r="B16" s="11" t="s">
        <v>19</v>
      </c>
      <c r="C16" s="12" t="s">
        <v>20</v>
      </c>
    </row>
    <row r="17" spans="2:3" ht="18" customHeight="1">
      <c r="B17" s="11" t="s">
        <v>21</v>
      </c>
      <c r="C17" s="12" t="s">
        <v>22</v>
      </c>
    </row>
    <row r="18" spans="2:3" ht="18" customHeight="1">
      <c r="B18" s="11" t="s">
        <v>23</v>
      </c>
      <c r="C18" s="12" t="s">
        <v>24</v>
      </c>
    </row>
    <row r="20" spans="2:3" ht="14.25" customHeight="1">
      <c r="B20" s="10" t="s">
        <v>25</v>
      </c>
    </row>
    <row r="21" spans="2:3" ht="31.5" customHeight="1">
      <c r="B21" s="11" t="s">
        <v>26</v>
      </c>
      <c r="C21" s="12" t="s">
        <v>27</v>
      </c>
    </row>
    <row r="22" spans="2:3" ht="18" customHeight="1">
      <c r="B22" s="11" t="s">
        <v>28</v>
      </c>
      <c r="C22" s="12" t="s">
        <v>29</v>
      </c>
    </row>
    <row r="23" spans="2:3" ht="18" customHeight="1">
      <c r="B23" s="11" t="s">
        <v>30</v>
      </c>
      <c r="C23" s="12" t="s">
        <v>31</v>
      </c>
    </row>
    <row r="25" spans="2:3" ht="14.25" customHeight="1">
      <c r="B25" s="10" t="s">
        <v>32</v>
      </c>
    </row>
    <row r="26" spans="2:3" ht="18" customHeight="1">
      <c r="B26" s="11" t="s">
        <v>33</v>
      </c>
      <c r="C26" s="12" t="s">
        <v>34</v>
      </c>
    </row>
    <row r="27" spans="2:3" ht="18" customHeight="1">
      <c r="B27" s="11" t="s">
        <v>35</v>
      </c>
      <c r="C27" s="12" t="s">
        <v>36</v>
      </c>
    </row>
    <row r="28" spans="2:3" ht="18" customHeight="1">
      <c r="B28" s="11" t="s">
        <v>37</v>
      </c>
      <c r="C28" s="12" t="s">
        <v>38</v>
      </c>
    </row>
    <row r="29" spans="2:3" ht="18" customHeight="1">
      <c r="B29" s="11" t="s">
        <v>39</v>
      </c>
      <c r="C29" s="12" t="s">
        <v>40</v>
      </c>
    </row>
    <row r="31" spans="2:3" ht="14.25" customHeight="1">
      <c r="B31" s="10"/>
    </row>
    <row r="32" spans="2:3" ht="31.5" customHeight="1">
      <c r="B32" s="13"/>
      <c r="C32" s="14"/>
    </row>
  </sheetData>
  <mergeCells count="3">
    <mergeCell ref="B2:C2"/>
    <mergeCell ref="B3:C3"/>
    <mergeCell ref="B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19"/>
  <sheetViews>
    <sheetView showGridLines="0" zoomScaleNormal="100" workbookViewId="0">
      <pane ySplit="4" topLeftCell="A5" activePane="bottomLeft" state="frozen"/>
      <selection pane="bottomLeft" activeCell="H1" sqref="H1"/>
    </sheetView>
  </sheetViews>
  <sheetFormatPr defaultColWidth="8.6640625" defaultRowHeight="14.4"/>
  <cols>
    <col min="1" max="1" width="16.44140625" customWidth="1"/>
    <col min="2" max="2" width="11.6640625" customWidth="1"/>
    <col min="3" max="3" width="29.77734375" customWidth="1"/>
    <col min="4" max="4" width="25.109375" customWidth="1"/>
    <col min="5" max="5" width="45.33203125" customWidth="1"/>
    <col min="6" max="6" width="27.44140625" customWidth="1"/>
    <col min="7" max="7" width="42" customWidth="1"/>
    <col min="8" max="8" width="39.33203125" customWidth="1"/>
    <col min="9" max="9" width="11.109375" customWidth="1"/>
    <col min="10" max="10" width="12.5546875" customWidth="1"/>
    <col min="11" max="11" width="21.44140625" customWidth="1"/>
    <col min="12" max="12" width="34" customWidth="1"/>
  </cols>
  <sheetData>
    <row r="1" spans="1:12" ht="16.5" customHeight="1">
      <c r="A1" s="5" t="s">
        <v>41</v>
      </c>
      <c r="B1" s="5"/>
      <c r="C1" s="5"/>
      <c r="D1" s="5"/>
      <c r="E1" s="5"/>
      <c r="F1" s="5"/>
    </row>
    <row r="2" spans="1:12" ht="14.25" customHeight="1">
      <c r="A2" s="15"/>
    </row>
    <row r="4" spans="1:12" ht="30" customHeight="1">
      <c r="A4" s="16" t="s">
        <v>42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17" t="s">
        <v>49</v>
      </c>
      <c r="I4" s="16" t="s">
        <v>50</v>
      </c>
      <c r="J4" s="16" t="s">
        <v>51</v>
      </c>
      <c r="K4" s="16" t="s">
        <v>52</v>
      </c>
      <c r="L4" s="16" t="s">
        <v>53</v>
      </c>
    </row>
    <row r="5" spans="1:12" ht="81.75" customHeight="1">
      <c r="A5" s="12" t="s">
        <v>54</v>
      </c>
      <c r="B5" s="12" t="s">
        <v>4</v>
      </c>
      <c r="C5" s="12" t="s">
        <v>55</v>
      </c>
      <c r="D5" s="12" t="s">
        <v>56</v>
      </c>
      <c r="E5" s="12" t="s">
        <v>57</v>
      </c>
      <c r="F5" s="12" t="s">
        <v>58</v>
      </c>
      <c r="G5" s="12" t="s">
        <v>59</v>
      </c>
      <c r="H5" s="18" t="s">
        <v>60</v>
      </c>
      <c r="I5" s="19" t="s">
        <v>17</v>
      </c>
      <c r="J5" s="20"/>
      <c r="K5" s="12" t="s">
        <v>61</v>
      </c>
      <c r="L5" s="12"/>
    </row>
    <row r="6" spans="1:12" ht="81.75" customHeight="1">
      <c r="A6" s="21" t="s">
        <v>62</v>
      </c>
      <c r="B6" s="21" t="s">
        <v>4</v>
      </c>
      <c r="C6" s="21" t="s">
        <v>63</v>
      </c>
      <c r="D6" s="21" t="s">
        <v>56</v>
      </c>
      <c r="E6" s="21" t="s">
        <v>64</v>
      </c>
      <c r="F6" s="21" t="s">
        <v>65</v>
      </c>
      <c r="G6" s="21" t="s">
        <v>66</v>
      </c>
      <c r="H6" s="18" t="s">
        <v>67</v>
      </c>
      <c r="I6" s="19" t="s">
        <v>17</v>
      </c>
      <c r="J6" s="20"/>
      <c r="K6" s="21" t="s">
        <v>68</v>
      </c>
      <c r="L6" s="21" t="s">
        <v>69</v>
      </c>
    </row>
    <row r="7" spans="1:12" ht="81.75" customHeight="1">
      <c r="A7" s="12" t="s">
        <v>70</v>
      </c>
      <c r="B7" s="12" t="s">
        <v>4</v>
      </c>
      <c r="C7" s="12" t="s">
        <v>71</v>
      </c>
      <c r="D7" s="12" t="s">
        <v>56</v>
      </c>
      <c r="E7" s="12" t="s">
        <v>72</v>
      </c>
      <c r="F7" s="12" t="s">
        <v>73</v>
      </c>
      <c r="G7" s="12" t="s">
        <v>74</v>
      </c>
      <c r="H7" s="18" t="s">
        <v>67</v>
      </c>
      <c r="I7" s="19" t="s">
        <v>17</v>
      </c>
      <c r="J7" s="20"/>
      <c r="K7" s="12" t="s">
        <v>68</v>
      </c>
      <c r="L7" s="12" t="s">
        <v>75</v>
      </c>
    </row>
    <row r="8" spans="1:12" ht="81.75" customHeight="1">
      <c r="A8" s="21" t="s">
        <v>76</v>
      </c>
      <c r="B8" s="21" t="s">
        <v>4</v>
      </c>
      <c r="C8" s="21" t="s">
        <v>77</v>
      </c>
      <c r="D8" s="21" t="s">
        <v>56</v>
      </c>
      <c r="E8" s="21" t="s">
        <v>78</v>
      </c>
      <c r="F8" s="21" t="s">
        <v>79</v>
      </c>
      <c r="G8" s="21" t="s">
        <v>80</v>
      </c>
      <c r="H8" s="18" t="s">
        <v>67</v>
      </c>
      <c r="I8" s="19" t="s">
        <v>17</v>
      </c>
      <c r="J8" s="20"/>
      <c r="K8" s="21" t="s">
        <v>81</v>
      </c>
      <c r="L8" s="21" t="s">
        <v>82</v>
      </c>
    </row>
    <row r="9" spans="1:12" ht="81.75" customHeight="1">
      <c r="A9" s="12" t="s">
        <v>83</v>
      </c>
      <c r="B9" s="12" t="s">
        <v>4</v>
      </c>
      <c r="C9" s="12" t="s">
        <v>84</v>
      </c>
      <c r="D9" s="12" t="s">
        <v>56</v>
      </c>
      <c r="E9" s="12" t="s">
        <v>85</v>
      </c>
      <c r="F9" s="12" t="s">
        <v>86</v>
      </c>
      <c r="G9" s="12" t="s">
        <v>87</v>
      </c>
      <c r="H9" s="18" t="s">
        <v>88</v>
      </c>
      <c r="I9" s="19" t="s">
        <v>17</v>
      </c>
      <c r="J9" s="20"/>
      <c r="K9" s="12" t="s">
        <v>89</v>
      </c>
      <c r="L9" s="12" t="s">
        <v>90</v>
      </c>
    </row>
    <row r="10" spans="1:12" ht="81.75" customHeight="1">
      <c r="A10" s="21" t="s">
        <v>91</v>
      </c>
      <c r="B10" s="21" t="s">
        <v>4</v>
      </c>
      <c r="C10" s="21" t="s">
        <v>92</v>
      </c>
      <c r="D10" s="21" t="s">
        <v>56</v>
      </c>
      <c r="E10" s="21" t="s">
        <v>93</v>
      </c>
      <c r="F10" s="21" t="s">
        <v>94</v>
      </c>
      <c r="G10" s="21" t="s">
        <v>95</v>
      </c>
      <c r="H10" s="18" t="s">
        <v>88</v>
      </c>
      <c r="I10" s="19" t="s">
        <v>17</v>
      </c>
      <c r="J10" s="20"/>
      <c r="K10" s="21" t="s">
        <v>96</v>
      </c>
      <c r="L10" s="21"/>
    </row>
    <row r="11" spans="1:12" ht="81.75" customHeight="1">
      <c r="A11" s="12" t="s">
        <v>97</v>
      </c>
      <c r="B11" s="12" t="s">
        <v>4</v>
      </c>
      <c r="C11" s="12" t="s">
        <v>98</v>
      </c>
      <c r="D11" s="12" t="s">
        <v>56</v>
      </c>
      <c r="E11" s="12" t="s">
        <v>99</v>
      </c>
      <c r="F11" s="12" t="s">
        <v>100</v>
      </c>
      <c r="G11" s="12" t="s">
        <v>101</v>
      </c>
      <c r="H11" s="22" t="s">
        <v>60</v>
      </c>
      <c r="I11" s="23" t="s">
        <v>19</v>
      </c>
      <c r="J11" s="24" t="s">
        <v>28</v>
      </c>
      <c r="K11" s="12" t="s">
        <v>102</v>
      </c>
      <c r="L11" s="12" t="s">
        <v>103</v>
      </c>
    </row>
    <row r="12" spans="1:12" ht="81.75" customHeight="1">
      <c r="A12" s="21" t="s">
        <v>104</v>
      </c>
      <c r="B12" s="21" t="s">
        <v>4</v>
      </c>
      <c r="C12" s="21" t="s">
        <v>105</v>
      </c>
      <c r="D12" s="21" t="s">
        <v>56</v>
      </c>
      <c r="E12" s="21" t="s">
        <v>106</v>
      </c>
      <c r="F12" s="21" t="s">
        <v>107</v>
      </c>
      <c r="G12" s="21" t="s">
        <v>108</v>
      </c>
      <c r="H12" s="18" t="s">
        <v>109</v>
      </c>
      <c r="I12" s="19" t="s">
        <v>17</v>
      </c>
      <c r="J12" s="20"/>
      <c r="K12" s="21" t="s">
        <v>102</v>
      </c>
      <c r="L12" s="21" t="s">
        <v>110</v>
      </c>
    </row>
    <row r="13" spans="1:12" ht="81.75" customHeight="1">
      <c r="A13" s="12" t="s">
        <v>111</v>
      </c>
      <c r="B13" s="12" t="s">
        <v>4</v>
      </c>
      <c r="C13" s="12" t="s">
        <v>112</v>
      </c>
      <c r="D13" s="12" t="s">
        <v>56</v>
      </c>
      <c r="E13" s="12" t="s">
        <v>113</v>
      </c>
      <c r="F13" s="12" t="s">
        <v>114</v>
      </c>
      <c r="G13" s="12" t="s">
        <v>115</v>
      </c>
      <c r="H13" s="18" t="s">
        <v>109</v>
      </c>
      <c r="I13" s="19" t="s">
        <v>17</v>
      </c>
      <c r="J13" s="20"/>
      <c r="K13" s="12" t="s">
        <v>96</v>
      </c>
      <c r="L13" s="12"/>
    </row>
    <row r="14" spans="1:12" ht="81.75" customHeight="1">
      <c r="A14" s="21" t="s">
        <v>116</v>
      </c>
      <c r="B14" s="21" t="s">
        <v>4</v>
      </c>
      <c r="C14" s="21" t="s">
        <v>117</v>
      </c>
      <c r="D14" s="21" t="s">
        <v>56</v>
      </c>
      <c r="E14" s="21" t="s">
        <v>118</v>
      </c>
      <c r="F14" s="21" t="s">
        <v>119</v>
      </c>
      <c r="G14" s="21" t="s">
        <v>120</v>
      </c>
      <c r="H14" s="18" t="s">
        <v>109</v>
      </c>
      <c r="I14" s="19" t="s">
        <v>17</v>
      </c>
      <c r="J14" s="20"/>
      <c r="K14" s="21" t="s">
        <v>89</v>
      </c>
      <c r="L14" s="21"/>
    </row>
    <row r="15" spans="1:12" ht="81.75" customHeight="1">
      <c r="A15" s="12" t="s">
        <v>121</v>
      </c>
      <c r="B15" s="12" t="s">
        <v>4</v>
      </c>
      <c r="C15" s="12" t="s">
        <v>122</v>
      </c>
      <c r="D15" s="12" t="s">
        <v>56</v>
      </c>
      <c r="E15" s="12" t="s">
        <v>123</v>
      </c>
      <c r="F15" s="12" t="s">
        <v>124</v>
      </c>
      <c r="G15" s="12" t="s">
        <v>125</v>
      </c>
      <c r="H15" s="18" t="s">
        <v>60</v>
      </c>
      <c r="I15" s="19" t="s">
        <v>17</v>
      </c>
      <c r="J15" s="20"/>
      <c r="K15" s="12" t="s">
        <v>126</v>
      </c>
      <c r="L15" s="12" t="s">
        <v>127</v>
      </c>
    </row>
    <row r="16" spans="1:12" ht="81.75" customHeight="1">
      <c r="A16" s="21" t="s">
        <v>128</v>
      </c>
      <c r="B16" s="21" t="s">
        <v>4</v>
      </c>
      <c r="C16" s="21" t="s">
        <v>129</v>
      </c>
      <c r="D16" s="21" t="s">
        <v>56</v>
      </c>
      <c r="E16" s="21" t="s">
        <v>130</v>
      </c>
      <c r="F16" s="21" t="s">
        <v>131</v>
      </c>
      <c r="G16" s="21" t="s">
        <v>132</v>
      </c>
      <c r="H16" s="18" t="s">
        <v>60</v>
      </c>
      <c r="I16" s="19" t="s">
        <v>17</v>
      </c>
      <c r="J16" s="20"/>
      <c r="K16" s="21" t="s">
        <v>133</v>
      </c>
      <c r="L16" s="21"/>
    </row>
    <row r="17" spans="1:12" ht="81.75" customHeight="1">
      <c r="A17" s="12" t="s">
        <v>134</v>
      </c>
      <c r="B17" s="12" t="s">
        <v>4</v>
      </c>
      <c r="C17" s="12" t="s">
        <v>135</v>
      </c>
      <c r="D17" s="12" t="s">
        <v>56</v>
      </c>
      <c r="E17" s="12" t="s">
        <v>136</v>
      </c>
      <c r="F17" s="12" t="s">
        <v>137</v>
      </c>
      <c r="G17" s="12" t="s">
        <v>138</v>
      </c>
      <c r="H17" s="18" t="s">
        <v>60</v>
      </c>
      <c r="I17" s="19" t="s">
        <v>17</v>
      </c>
      <c r="J17" s="20"/>
      <c r="K17" s="12" t="s">
        <v>139</v>
      </c>
      <c r="L17" s="12" t="s">
        <v>140</v>
      </c>
    </row>
    <row r="18" spans="1:12" ht="81.75" customHeight="1">
      <c r="A18" s="21" t="s">
        <v>141</v>
      </c>
      <c r="B18" s="21" t="s">
        <v>4</v>
      </c>
      <c r="C18" s="21" t="s">
        <v>142</v>
      </c>
      <c r="D18" s="21" t="s">
        <v>56</v>
      </c>
      <c r="E18" s="21" t="s">
        <v>143</v>
      </c>
      <c r="F18" s="21" t="s">
        <v>144</v>
      </c>
      <c r="G18" s="21" t="s">
        <v>145</v>
      </c>
      <c r="H18" s="18" t="s">
        <v>60</v>
      </c>
      <c r="I18" s="19" t="s">
        <v>17</v>
      </c>
      <c r="J18" s="20"/>
      <c r="K18" s="21" t="s">
        <v>146</v>
      </c>
      <c r="L18" s="21" t="s">
        <v>147</v>
      </c>
    </row>
    <row r="19" spans="1:12" ht="81.75" customHeight="1">
      <c r="A19" s="12" t="s">
        <v>148</v>
      </c>
      <c r="B19" s="12" t="s">
        <v>4</v>
      </c>
      <c r="C19" s="12" t="s">
        <v>149</v>
      </c>
      <c r="D19" s="12" t="s">
        <v>56</v>
      </c>
      <c r="E19" s="12" t="s">
        <v>150</v>
      </c>
      <c r="F19" s="12" t="s">
        <v>151</v>
      </c>
      <c r="G19" s="12" t="s">
        <v>152</v>
      </c>
      <c r="H19" s="18" t="s">
        <v>60</v>
      </c>
      <c r="I19" s="19" t="s">
        <v>17</v>
      </c>
      <c r="J19" s="20"/>
      <c r="K19" s="12" t="s">
        <v>139</v>
      </c>
      <c r="L19" s="12" t="s">
        <v>153</v>
      </c>
    </row>
    <row r="20" spans="1:12" ht="81.75" customHeight="1">
      <c r="A20" s="21" t="s">
        <v>154</v>
      </c>
      <c r="B20" s="21" t="s">
        <v>4</v>
      </c>
      <c r="C20" s="21" t="s">
        <v>155</v>
      </c>
      <c r="D20" s="21" t="s">
        <v>56</v>
      </c>
      <c r="E20" s="21" t="s">
        <v>156</v>
      </c>
      <c r="F20" s="21" t="s">
        <v>157</v>
      </c>
      <c r="G20" s="21" t="s">
        <v>158</v>
      </c>
      <c r="H20" s="18" t="s">
        <v>159</v>
      </c>
      <c r="I20" s="19" t="s">
        <v>17</v>
      </c>
      <c r="J20" s="20"/>
      <c r="K20" s="21" t="s">
        <v>89</v>
      </c>
      <c r="L20" s="21" t="s">
        <v>160</v>
      </c>
    </row>
    <row r="21" spans="1:12" ht="81.75" customHeight="1">
      <c r="A21" s="12" t="s">
        <v>161</v>
      </c>
      <c r="B21" s="12" t="s">
        <v>4</v>
      </c>
      <c r="C21" s="12" t="s">
        <v>162</v>
      </c>
      <c r="D21" s="12" t="s">
        <v>56</v>
      </c>
      <c r="E21" s="12" t="s">
        <v>163</v>
      </c>
      <c r="F21" s="12" t="s">
        <v>164</v>
      </c>
      <c r="G21" s="12" t="s">
        <v>165</v>
      </c>
      <c r="H21" s="18" t="s">
        <v>166</v>
      </c>
      <c r="I21" s="19" t="s">
        <v>17</v>
      </c>
      <c r="J21" s="20"/>
      <c r="K21" s="12" t="s">
        <v>37</v>
      </c>
      <c r="L21" s="12" t="s">
        <v>167</v>
      </c>
    </row>
    <row r="22" spans="1:12" ht="81.75" customHeight="1">
      <c r="A22" s="21" t="s">
        <v>168</v>
      </c>
      <c r="B22" s="21" t="s">
        <v>4</v>
      </c>
      <c r="C22" s="21" t="s">
        <v>169</v>
      </c>
      <c r="D22" s="21" t="s">
        <v>56</v>
      </c>
      <c r="E22" s="21" t="s">
        <v>170</v>
      </c>
      <c r="F22" s="21" t="s">
        <v>171</v>
      </c>
      <c r="G22" s="21" t="s">
        <v>172</v>
      </c>
      <c r="H22" s="18" t="s">
        <v>173</v>
      </c>
      <c r="I22" s="19" t="s">
        <v>17</v>
      </c>
      <c r="J22" s="20"/>
      <c r="K22" s="21" t="s">
        <v>68</v>
      </c>
      <c r="L22" s="21"/>
    </row>
    <row r="23" spans="1:12" ht="81.75" customHeight="1">
      <c r="A23" s="12" t="s">
        <v>174</v>
      </c>
      <c r="B23" s="12" t="s">
        <v>4</v>
      </c>
      <c r="C23" s="12" t="s">
        <v>175</v>
      </c>
      <c r="D23" s="12" t="s">
        <v>176</v>
      </c>
      <c r="E23" s="12" t="s">
        <v>177</v>
      </c>
      <c r="F23" s="12" t="s">
        <v>178</v>
      </c>
      <c r="G23" s="12" t="s">
        <v>179</v>
      </c>
      <c r="H23" s="18" t="s">
        <v>173</v>
      </c>
      <c r="I23" s="19" t="s">
        <v>17</v>
      </c>
      <c r="J23" s="20"/>
      <c r="K23" s="12" t="s">
        <v>180</v>
      </c>
      <c r="L23" s="12" t="s">
        <v>181</v>
      </c>
    </row>
    <row r="24" spans="1:12" ht="81.75" customHeight="1">
      <c r="A24" s="21" t="s">
        <v>182</v>
      </c>
      <c r="B24" s="21" t="s">
        <v>4</v>
      </c>
      <c r="C24" s="21" t="s">
        <v>183</v>
      </c>
      <c r="D24" s="21" t="s">
        <v>56</v>
      </c>
      <c r="E24" s="21" t="s">
        <v>184</v>
      </c>
      <c r="F24" s="21" t="s">
        <v>185</v>
      </c>
      <c r="G24" s="21" t="s">
        <v>186</v>
      </c>
      <c r="H24" s="18" t="s">
        <v>166</v>
      </c>
      <c r="I24" s="19" t="s">
        <v>17</v>
      </c>
      <c r="J24" s="20"/>
      <c r="K24" s="21" t="s">
        <v>139</v>
      </c>
      <c r="L24" s="21" t="s">
        <v>187</v>
      </c>
    </row>
    <row r="25" spans="1:12" ht="81.75" customHeight="1">
      <c r="A25" s="12" t="s">
        <v>188</v>
      </c>
      <c r="B25" s="12" t="s">
        <v>4</v>
      </c>
      <c r="C25" s="12" t="s">
        <v>189</v>
      </c>
      <c r="D25" s="12" t="s">
        <v>190</v>
      </c>
      <c r="E25" s="12" t="s">
        <v>191</v>
      </c>
      <c r="F25" s="12" t="s">
        <v>192</v>
      </c>
      <c r="G25" s="12" t="s">
        <v>193</v>
      </c>
      <c r="H25" s="18" t="s">
        <v>194</v>
      </c>
      <c r="I25" s="19" t="s">
        <v>17</v>
      </c>
      <c r="J25" s="20"/>
      <c r="K25" s="12" t="s">
        <v>195</v>
      </c>
      <c r="L25" s="12" t="s">
        <v>196</v>
      </c>
    </row>
    <row r="26" spans="1:12" ht="81.75" customHeight="1">
      <c r="A26" s="21" t="s">
        <v>197</v>
      </c>
      <c r="B26" s="21" t="s">
        <v>4</v>
      </c>
      <c r="C26" s="21" t="s">
        <v>198</v>
      </c>
      <c r="D26" s="21" t="s">
        <v>56</v>
      </c>
      <c r="E26" s="21" t="s">
        <v>199</v>
      </c>
      <c r="F26" s="21" t="s">
        <v>200</v>
      </c>
      <c r="G26" s="21" t="s">
        <v>201</v>
      </c>
      <c r="H26" s="18" t="s">
        <v>202</v>
      </c>
      <c r="I26" s="19" t="s">
        <v>17</v>
      </c>
      <c r="J26" s="20"/>
      <c r="K26" s="21" t="s">
        <v>68</v>
      </c>
      <c r="L26" s="21"/>
    </row>
    <row r="27" spans="1:12" ht="14.25" customHeight="1">
      <c r="H27" s="25"/>
    </row>
    <row r="28" spans="1:12" ht="14.25" customHeight="1">
      <c r="H28" s="25"/>
    </row>
    <row r="29" spans="1:12" ht="14.25" customHeight="1">
      <c r="H29" s="25"/>
    </row>
    <row r="30" spans="1:12" ht="14.25" customHeight="1">
      <c r="H30" s="25"/>
    </row>
    <row r="31" spans="1:12" ht="14.25" customHeight="1">
      <c r="H31" s="25"/>
    </row>
    <row r="32" spans="1:12" ht="14.25" customHeight="1">
      <c r="H32" s="25"/>
    </row>
    <row r="33" spans="8:8" ht="14.25" customHeight="1">
      <c r="H33" s="25"/>
    </row>
    <row r="34" spans="8:8" ht="14.25" customHeight="1">
      <c r="H34" s="25"/>
    </row>
    <row r="35" spans="8:8" ht="14.25" customHeight="1">
      <c r="H35" s="25"/>
    </row>
    <row r="36" spans="8:8" ht="14.25" customHeight="1">
      <c r="H36" s="25"/>
    </row>
    <row r="37" spans="8:8" ht="14.25" customHeight="1">
      <c r="H37" s="25"/>
    </row>
    <row r="38" spans="8:8" ht="14.25" customHeight="1">
      <c r="H38" s="25"/>
    </row>
    <row r="39" spans="8:8" ht="14.25" customHeight="1">
      <c r="H39" s="25"/>
    </row>
    <row r="40" spans="8:8" ht="14.25" customHeight="1">
      <c r="H40" s="25"/>
    </row>
    <row r="41" spans="8:8" ht="14.25" customHeight="1">
      <c r="H41" s="25"/>
    </row>
    <row r="42" spans="8:8" ht="14.25" customHeight="1">
      <c r="H42" s="25"/>
    </row>
    <row r="43" spans="8:8" ht="14.25" customHeight="1">
      <c r="H43" s="25"/>
    </row>
    <row r="44" spans="8:8" ht="14.25" customHeight="1">
      <c r="H44" s="25"/>
    </row>
    <row r="45" spans="8:8" ht="14.25" customHeight="1">
      <c r="H45" s="25"/>
    </row>
    <row r="46" spans="8:8" ht="14.25" customHeight="1">
      <c r="H46" s="25"/>
    </row>
    <row r="47" spans="8:8" ht="14.25" customHeight="1">
      <c r="H47" s="25"/>
    </row>
    <row r="48" spans="8:8" ht="14.25" customHeight="1">
      <c r="H48" s="25"/>
    </row>
    <row r="49" spans="8:8" ht="14.25" customHeight="1">
      <c r="H49" s="25"/>
    </row>
    <row r="50" spans="8:8" ht="14.25" customHeight="1">
      <c r="H50" s="25"/>
    </row>
    <row r="51" spans="8:8" ht="14.25" customHeight="1">
      <c r="H51" s="25"/>
    </row>
    <row r="52" spans="8:8" ht="14.25" customHeight="1">
      <c r="H52" s="25"/>
    </row>
    <row r="53" spans="8:8" ht="14.25" customHeight="1">
      <c r="H53" s="25"/>
    </row>
    <row r="54" spans="8:8" ht="14.25" customHeight="1">
      <c r="H54" s="25"/>
    </row>
    <row r="55" spans="8:8" ht="14.25" customHeight="1">
      <c r="H55" s="25"/>
    </row>
    <row r="56" spans="8:8" ht="14.25" customHeight="1">
      <c r="H56" s="25"/>
    </row>
    <row r="57" spans="8:8" ht="14.25" customHeight="1">
      <c r="H57" s="25"/>
    </row>
    <row r="58" spans="8:8" ht="14.25" customHeight="1">
      <c r="H58" s="25"/>
    </row>
    <row r="59" spans="8:8" ht="14.25" customHeight="1">
      <c r="H59" s="25"/>
    </row>
    <row r="60" spans="8:8" ht="14.25" customHeight="1">
      <c r="H60" s="25"/>
    </row>
    <row r="61" spans="8:8" ht="14.25" customHeight="1">
      <c r="H61" s="25"/>
    </row>
    <row r="62" spans="8:8" ht="14.25" customHeight="1">
      <c r="H62" s="25"/>
    </row>
    <row r="63" spans="8:8" ht="14.25" customHeight="1">
      <c r="H63" s="25"/>
    </row>
    <row r="64" spans="8:8" ht="14.25" customHeight="1">
      <c r="H64" s="25"/>
    </row>
    <row r="65" spans="8:8" ht="14.25" customHeight="1">
      <c r="H65" s="25"/>
    </row>
    <row r="66" spans="8:8" ht="14.25" customHeight="1">
      <c r="H66" s="25"/>
    </row>
    <row r="67" spans="8:8" ht="14.25" customHeight="1">
      <c r="H67" s="25"/>
    </row>
    <row r="68" spans="8:8" ht="14.25" customHeight="1">
      <c r="H68" s="25"/>
    </row>
    <row r="69" spans="8:8" ht="14.25" customHeight="1">
      <c r="H69" s="25"/>
    </row>
    <row r="70" spans="8:8" ht="14.25" customHeight="1">
      <c r="H70" s="25"/>
    </row>
    <row r="71" spans="8:8" ht="14.25" customHeight="1">
      <c r="H71" s="25"/>
    </row>
    <row r="72" spans="8:8" ht="14.25" customHeight="1">
      <c r="H72" s="25"/>
    </row>
    <row r="73" spans="8:8" ht="14.25" customHeight="1">
      <c r="H73" s="25"/>
    </row>
    <row r="74" spans="8:8" ht="14.25" customHeight="1">
      <c r="H74" s="25"/>
    </row>
    <row r="75" spans="8:8" ht="14.25" customHeight="1">
      <c r="H75" s="25"/>
    </row>
    <row r="76" spans="8:8" ht="14.25" customHeight="1">
      <c r="H76" s="25"/>
    </row>
    <row r="77" spans="8:8" ht="14.25" customHeight="1">
      <c r="H77" s="25"/>
    </row>
    <row r="78" spans="8:8" ht="14.25" customHeight="1">
      <c r="H78" s="25"/>
    </row>
    <row r="79" spans="8:8" ht="14.25" customHeight="1">
      <c r="H79" s="25"/>
    </row>
    <row r="80" spans="8:8" ht="14.25" customHeight="1">
      <c r="H80" s="25"/>
    </row>
    <row r="81" spans="8:8" ht="14.25" customHeight="1">
      <c r="H81" s="25"/>
    </row>
    <row r="82" spans="8:8" ht="14.25" customHeight="1">
      <c r="H82" s="25"/>
    </row>
    <row r="83" spans="8:8" ht="14.25" customHeight="1">
      <c r="H83" s="25"/>
    </row>
    <row r="84" spans="8:8" ht="14.25" customHeight="1">
      <c r="H84" s="25"/>
    </row>
    <row r="85" spans="8:8" ht="14.25" customHeight="1">
      <c r="H85" s="25"/>
    </row>
    <row r="86" spans="8:8" ht="14.25" customHeight="1">
      <c r="H86" s="25"/>
    </row>
    <row r="87" spans="8:8" ht="14.25" customHeight="1">
      <c r="H87" s="25"/>
    </row>
    <row r="88" spans="8:8" ht="14.25" customHeight="1">
      <c r="H88" s="25"/>
    </row>
    <row r="89" spans="8:8" ht="14.25" customHeight="1">
      <c r="H89" s="25"/>
    </row>
    <row r="90" spans="8:8" ht="14.25" customHeight="1">
      <c r="H90" s="25"/>
    </row>
    <row r="91" spans="8:8" ht="14.25" customHeight="1">
      <c r="H91" s="25"/>
    </row>
    <row r="92" spans="8:8" ht="14.25" customHeight="1">
      <c r="H92" s="25"/>
    </row>
    <row r="93" spans="8:8" ht="14.25" customHeight="1">
      <c r="H93" s="25"/>
    </row>
    <row r="94" spans="8:8" ht="14.25" customHeight="1">
      <c r="H94" s="25"/>
    </row>
    <row r="95" spans="8:8" ht="14.25" customHeight="1">
      <c r="H95" s="25"/>
    </row>
    <row r="96" spans="8:8" ht="14.25" customHeight="1">
      <c r="H96" s="25"/>
    </row>
    <row r="97" spans="8:8" ht="14.25" customHeight="1">
      <c r="H97" s="25"/>
    </row>
    <row r="98" spans="8:8" ht="14.25" customHeight="1">
      <c r="H98" s="25"/>
    </row>
    <row r="99" spans="8:8" ht="14.25" customHeight="1">
      <c r="H99" s="25"/>
    </row>
    <row r="100" spans="8:8" ht="14.25" customHeight="1">
      <c r="H100" s="25"/>
    </row>
    <row r="101" spans="8:8" ht="14.25" customHeight="1">
      <c r="H101" s="25"/>
    </row>
    <row r="102" spans="8:8" ht="14.25" customHeight="1">
      <c r="H102" s="25"/>
    </row>
    <row r="103" spans="8:8" ht="14.25" customHeight="1">
      <c r="H103" s="25"/>
    </row>
    <row r="104" spans="8:8" ht="14.25" customHeight="1">
      <c r="H104" s="25"/>
    </row>
    <row r="105" spans="8:8" ht="14.25" customHeight="1">
      <c r="H105" s="25"/>
    </row>
    <row r="106" spans="8:8" ht="14.25" customHeight="1">
      <c r="H106" s="25"/>
    </row>
    <row r="107" spans="8:8" ht="14.25" customHeight="1">
      <c r="H107" s="25"/>
    </row>
    <row r="108" spans="8:8" ht="14.25" customHeight="1">
      <c r="H108" s="25"/>
    </row>
    <row r="109" spans="8:8" ht="14.25" customHeight="1">
      <c r="H109" s="25"/>
    </row>
    <row r="110" spans="8:8" ht="14.25" customHeight="1">
      <c r="H110" s="25"/>
    </row>
    <row r="111" spans="8:8" ht="14.25" customHeight="1">
      <c r="H111" s="25"/>
    </row>
    <row r="112" spans="8:8" ht="14.25" customHeight="1">
      <c r="H112" s="25"/>
    </row>
    <row r="113" spans="8:8" ht="14.25" customHeight="1">
      <c r="H113" s="25"/>
    </row>
    <row r="114" spans="8:8" ht="14.25" customHeight="1">
      <c r="H114" s="25"/>
    </row>
    <row r="115" spans="8:8" ht="14.25" customHeight="1">
      <c r="H115" s="25"/>
    </row>
    <row r="116" spans="8:8" ht="14.25" customHeight="1">
      <c r="H116" s="25"/>
    </row>
    <row r="117" spans="8:8" ht="14.25" customHeight="1">
      <c r="H117" s="25"/>
    </row>
    <row r="118" spans="8:8" ht="14.25" customHeight="1">
      <c r="H118" s="25"/>
    </row>
    <row r="119" spans="8:8" ht="14.25" customHeight="1">
      <c r="H119" s="25"/>
    </row>
  </sheetData>
  <autoFilter ref="A4:L26"/>
  <mergeCells count="1">
    <mergeCell ref="A1:F1"/>
  </mergeCells>
  <dataValidations count="2">
    <dataValidation type="list" allowBlank="1" sqref="I5:I26">
      <formula1>"Pass,Fail,Blocked,Not Executed"</formula1>
      <formula2>0</formula2>
    </dataValidation>
    <dataValidation type="list" allowBlank="1" sqref="J5:J26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6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6640625" defaultRowHeight="14.4"/>
  <cols>
    <col min="1" max="1" width="16.44140625" customWidth="1"/>
    <col min="2" max="2" width="11.6640625" customWidth="1"/>
    <col min="3" max="3" width="29.88671875" customWidth="1"/>
    <col min="4" max="4" width="25.5546875" customWidth="1"/>
    <col min="5" max="5" width="45.109375" customWidth="1"/>
    <col min="6" max="6" width="25.21875" customWidth="1"/>
    <col min="7" max="7" width="41.109375" customWidth="1"/>
    <col min="8" max="8" width="35.21875" style="25" customWidth="1"/>
    <col min="9" max="9" width="11.109375" customWidth="1"/>
    <col min="10" max="10" width="12.5546875" customWidth="1"/>
    <col min="11" max="11" width="19.6640625" customWidth="1"/>
    <col min="12" max="12" width="33.88671875" customWidth="1"/>
  </cols>
  <sheetData>
    <row r="1" spans="1:12" ht="16.5" customHeight="1">
      <c r="A1" s="5" t="s">
        <v>203</v>
      </c>
      <c r="B1" s="5"/>
      <c r="C1" s="5"/>
      <c r="D1" s="5"/>
      <c r="E1" s="5"/>
      <c r="F1" s="5"/>
    </row>
    <row r="2" spans="1:12" ht="14.25" customHeight="1">
      <c r="A2" s="15"/>
    </row>
    <row r="4" spans="1:12" ht="30" customHeight="1">
      <c r="A4" s="16" t="s">
        <v>42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26" t="s">
        <v>49</v>
      </c>
      <c r="I4" s="16" t="s">
        <v>50</v>
      </c>
      <c r="J4" s="16" t="s">
        <v>51</v>
      </c>
      <c r="K4" s="16" t="s">
        <v>52</v>
      </c>
      <c r="L4" s="16" t="s">
        <v>53</v>
      </c>
    </row>
    <row r="5" spans="1:12" ht="81.75" customHeight="1">
      <c r="A5" s="12" t="s">
        <v>204</v>
      </c>
      <c r="B5" s="12" t="s">
        <v>205</v>
      </c>
      <c r="C5" s="12" t="s">
        <v>206</v>
      </c>
      <c r="D5" s="12" t="s">
        <v>207</v>
      </c>
      <c r="E5" s="12" t="s">
        <v>208</v>
      </c>
      <c r="F5" s="12" t="s">
        <v>209</v>
      </c>
      <c r="G5" s="12" t="s">
        <v>210</v>
      </c>
      <c r="H5" s="18" t="s">
        <v>211</v>
      </c>
      <c r="I5" s="19" t="s">
        <v>17</v>
      </c>
      <c r="J5" s="20"/>
      <c r="K5" s="12" t="s">
        <v>61</v>
      </c>
      <c r="L5" s="12"/>
    </row>
    <row r="6" spans="1:12" ht="81.75" customHeight="1">
      <c r="A6" s="21" t="s">
        <v>212</v>
      </c>
      <c r="B6" s="21" t="s">
        <v>205</v>
      </c>
      <c r="C6" s="21" t="s">
        <v>213</v>
      </c>
      <c r="D6" s="21" t="s">
        <v>207</v>
      </c>
      <c r="E6" s="21" t="s">
        <v>214</v>
      </c>
      <c r="F6" s="21" t="s">
        <v>215</v>
      </c>
      <c r="G6" s="21" t="s">
        <v>216</v>
      </c>
      <c r="H6" s="22" t="s">
        <v>217</v>
      </c>
      <c r="I6" s="23" t="s">
        <v>19</v>
      </c>
      <c r="J6" s="27" t="s">
        <v>30</v>
      </c>
      <c r="K6" s="21" t="s">
        <v>89</v>
      </c>
      <c r="L6" s="21" t="s">
        <v>218</v>
      </c>
    </row>
    <row r="7" spans="1:12" ht="81.75" customHeight="1">
      <c r="A7" s="12" t="s">
        <v>219</v>
      </c>
      <c r="B7" s="12" t="s">
        <v>205</v>
      </c>
      <c r="C7" s="12" t="s">
        <v>220</v>
      </c>
      <c r="D7" s="12" t="s">
        <v>207</v>
      </c>
      <c r="E7" s="12" t="s">
        <v>221</v>
      </c>
      <c r="F7" s="12" t="s">
        <v>222</v>
      </c>
      <c r="G7" s="12" t="s">
        <v>223</v>
      </c>
      <c r="H7" s="18" t="s">
        <v>224</v>
      </c>
      <c r="I7" s="19" t="s">
        <v>17</v>
      </c>
      <c r="J7" s="20"/>
      <c r="K7" s="12" t="s">
        <v>61</v>
      </c>
      <c r="L7" s="12"/>
    </row>
    <row r="8" spans="1:12" ht="81.75" customHeight="1">
      <c r="A8" s="21" t="s">
        <v>225</v>
      </c>
      <c r="B8" s="21" t="s">
        <v>205</v>
      </c>
      <c r="C8" s="21" t="s">
        <v>226</v>
      </c>
      <c r="D8" s="21" t="s">
        <v>207</v>
      </c>
      <c r="E8" s="21" t="s">
        <v>227</v>
      </c>
      <c r="F8" s="21" t="s">
        <v>228</v>
      </c>
      <c r="G8" s="21" t="s">
        <v>229</v>
      </c>
      <c r="H8" s="22" t="s">
        <v>217</v>
      </c>
      <c r="I8" s="23" t="s">
        <v>19</v>
      </c>
      <c r="J8" s="24" t="s">
        <v>28</v>
      </c>
      <c r="K8" s="21" t="s">
        <v>230</v>
      </c>
      <c r="L8" s="21" t="s">
        <v>231</v>
      </c>
    </row>
    <row r="9" spans="1:12" ht="81.75" customHeight="1">
      <c r="A9" s="12" t="s">
        <v>232</v>
      </c>
      <c r="B9" s="12" t="s">
        <v>205</v>
      </c>
      <c r="C9" s="12" t="s">
        <v>233</v>
      </c>
      <c r="D9" s="12" t="s">
        <v>207</v>
      </c>
      <c r="E9" s="12" t="s">
        <v>234</v>
      </c>
      <c r="F9" s="12" t="s">
        <v>235</v>
      </c>
      <c r="G9" s="12" t="s">
        <v>236</v>
      </c>
      <c r="H9" s="18" t="s">
        <v>211</v>
      </c>
      <c r="I9" s="19" t="s">
        <v>17</v>
      </c>
      <c r="J9" s="20"/>
      <c r="K9" s="12" t="s">
        <v>33</v>
      </c>
      <c r="L9" s="12"/>
    </row>
    <row r="10" spans="1:12" ht="81.75" customHeight="1">
      <c r="A10" s="21" t="s">
        <v>237</v>
      </c>
      <c r="B10" s="21" t="s">
        <v>205</v>
      </c>
      <c r="C10" s="21" t="s">
        <v>238</v>
      </c>
      <c r="D10" s="21" t="s">
        <v>207</v>
      </c>
      <c r="E10" s="21" t="s">
        <v>239</v>
      </c>
      <c r="F10" s="21" t="s">
        <v>240</v>
      </c>
      <c r="G10" s="21" t="s">
        <v>241</v>
      </c>
      <c r="H10" s="22" t="s">
        <v>242</v>
      </c>
      <c r="I10" s="23" t="s">
        <v>19</v>
      </c>
      <c r="J10" s="27" t="s">
        <v>30</v>
      </c>
      <c r="K10" s="21" t="s">
        <v>33</v>
      </c>
      <c r="L10" s="21" t="s">
        <v>243</v>
      </c>
    </row>
    <row r="11" spans="1:12" ht="81.75" customHeight="1">
      <c r="A11" s="12" t="s">
        <v>244</v>
      </c>
      <c r="B11" s="12" t="s">
        <v>205</v>
      </c>
      <c r="C11" s="12" t="s">
        <v>245</v>
      </c>
      <c r="D11" s="12" t="s">
        <v>207</v>
      </c>
      <c r="E11" s="12" t="s">
        <v>246</v>
      </c>
      <c r="F11" s="12" t="s">
        <v>247</v>
      </c>
      <c r="G11" s="12" t="s">
        <v>248</v>
      </c>
      <c r="H11" s="18" t="s">
        <v>242</v>
      </c>
      <c r="I11" s="19" t="s">
        <v>17</v>
      </c>
      <c r="J11" s="20"/>
      <c r="K11" s="12" t="s">
        <v>249</v>
      </c>
      <c r="L11" s="12"/>
    </row>
    <row r="12" spans="1:12" ht="81.75" customHeight="1">
      <c r="A12" s="21" t="s">
        <v>250</v>
      </c>
      <c r="B12" s="21" t="s">
        <v>205</v>
      </c>
      <c r="C12" s="21" t="s">
        <v>251</v>
      </c>
      <c r="D12" s="21" t="s">
        <v>207</v>
      </c>
      <c r="E12" s="21" t="s">
        <v>252</v>
      </c>
      <c r="F12" s="21" t="s">
        <v>253</v>
      </c>
      <c r="G12" s="21" t="s">
        <v>254</v>
      </c>
      <c r="H12" s="18" t="s">
        <v>211</v>
      </c>
      <c r="I12" s="19" t="s">
        <v>17</v>
      </c>
      <c r="J12" s="20"/>
      <c r="K12" s="21" t="s">
        <v>139</v>
      </c>
      <c r="L12" s="21"/>
    </row>
    <row r="13" spans="1:12" ht="81.75" customHeight="1">
      <c r="A13" s="12" t="s">
        <v>255</v>
      </c>
      <c r="B13" s="12" t="s">
        <v>205</v>
      </c>
      <c r="C13" s="12" t="s">
        <v>256</v>
      </c>
      <c r="D13" s="12" t="s">
        <v>207</v>
      </c>
      <c r="E13" s="12" t="s">
        <v>257</v>
      </c>
      <c r="F13" s="12" t="s">
        <v>258</v>
      </c>
      <c r="G13" s="12" t="s">
        <v>259</v>
      </c>
      <c r="H13" s="18" t="s">
        <v>242</v>
      </c>
      <c r="I13" s="19" t="s">
        <v>17</v>
      </c>
      <c r="J13" s="20"/>
      <c r="K13" s="12" t="s">
        <v>146</v>
      </c>
      <c r="L13" s="12" t="s">
        <v>260</v>
      </c>
    </row>
    <row r="14" spans="1:12" ht="81.75" customHeight="1">
      <c r="A14" s="21" t="s">
        <v>261</v>
      </c>
      <c r="B14" s="21" t="s">
        <v>205</v>
      </c>
      <c r="C14" s="21" t="s">
        <v>262</v>
      </c>
      <c r="D14" s="21" t="s">
        <v>263</v>
      </c>
      <c r="E14" s="21" t="s">
        <v>264</v>
      </c>
      <c r="F14" s="21" t="s">
        <v>209</v>
      </c>
      <c r="G14" s="21" t="s">
        <v>265</v>
      </c>
      <c r="H14" s="18" t="s">
        <v>211</v>
      </c>
      <c r="I14" s="19" t="s">
        <v>17</v>
      </c>
      <c r="J14" s="20"/>
      <c r="K14" s="21" t="s">
        <v>266</v>
      </c>
      <c r="L14" s="21"/>
    </row>
    <row r="15" spans="1:12" ht="81.75" customHeight="1">
      <c r="A15" s="12" t="s">
        <v>267</v>
      </c>
      <c r="B15" s="12" t="s">
        <v>205</v>
      </c>
      <c r="C15" s="12" t="s">
        <v>268</v>
      </c>
      <c r="D15" s="12" t="s">
        <v>269</v>
      </c>
      <c r="E15" s="12" t="s">
        <v>270</v>
      </c>
      <c r="F15" s="12" t="s">
        <v>209</v>
      </c>
      <c r="G15" s="12" t="s">
        <v>271</v>
      </c>
      <c r="H15" s="18" t="s">
        <v>211</v>
      </c>
      <c r="I15" s="19" t="s">
        <v>17</v>
      </c>
      <c r="J15" s="20"/>
      <c r="K15" s="12" t="s">
        <v>266</v>
      </c>
      <c r="L15" s="12"/>
    </row>
    <row r="16" spans="1:12" s="28" customFormat="1" ht="81.75" customHeight="1">
      <c r="A16" s="21" t="s">
        <v>272</v>
      </c>
      <c r="B16" s="21" t="s">
        <v>205</v>
      </c>
      <c r="C16" s="21" t="s">
        <v>273</v>
      </c>
      <c r="D16" s="21" t="s">
        <v>207</v>
      </c>
      <c r="E16" s="21" t="s">
        <v>274</v>
      </c>
      <c r="F16" s="21" t="s">
        <v>209</v>
      </c>
      <c r="G16" s="21" t="s">
        <v>275</v>
      </c>
      <c r="H16" s="18" t="s">
        <v>276</v>
      </c>
      <c r="I16" s="19" t="s">
        <v>17</v>
      </c>
      <c r="J16" s="20"/>
      <c r="K16" s="21" t="s">
        <v>39</v>
      </c>
      <c r="L16" s="21"/>
    </row>
  </sheetData>
  <autoFilter ref="A4:L16"/>
  <mergeCells count="1">
    <mergeCell ref="A1:F1"/>
  </mergeCells>
  <dataValidations count="2">
    <dataValidation type="list" allowBlank="1" sqref="I5:I16">
      <formula1>"Pass,Fail,Blocked,Not Executed"</formula1>
      <formula2>0</formula2>
    </dataValidation>
    <dataValidation type="list" allowBlank="1" sqref="J5:J16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4"/>
  <sheetViews>
    <sheetView showGridLines="0" topLeftCell="E1" zoomScaleNormal="100" workbookViewId="0">
      <pane ySplit="4" topLeftCell="A14" activePane="bottomLeft" state="frozen"/>
      <selection activeCell="E1" sqref="E1"/>
      <selection pane="bottomLeft" activeCell="G8" sqref="G8"/>
    </sheetView>
  </sheetViews>
  <sheetFormatPr defaultColWidth="8.6640625" defaultRowHeight="14.4"/>
  <cols>
    <col min="1" max="1" width="16.44140625" customWidth="1"/>
    <col min="2" max="2" width="11.6640625" customWidth="1"/>
    <col min="3" max="3" width="30" customWidth="1"/>
    <col min="4" max="4" width="25.109375" customWidth="1"/>
    <col min="5" max="5" width="42.33203125" customWidth="1"/>
    <col min="6" max="6" width="27.88671875" customWidth="1"/>
    <col min="7" max="7" width="41.33203125" customWidth="1"/>
    <col min="8" max="8" width="39.109375" customWidth="1"/>
    <col min="9" max="9" width="11.109375" customWidth="1"/>
    <col min="10" max="10" width="12.5546875" customWidth="1"/>
    <col min="11" max="11" width="14.44140625" customWidth="1"/>
    <col min="12" max="12" width="33.77734375" customWidth="1"/>
  </cols>
  <sheetData>
    <row r="1" spans="1:12" ht="16.5" customHeight="1">
      <c r="A1" s="5" t="s">
        <v>203</v>
      </c>
      <c r="B1" s="5"/>
      <c r="C1" s="5"/>
      <c r="D1" s="5"/>
      <c r="E1" s="5"/>
      <c r="F1" s="5" t="s">
        <v>203</v>
      </c>
      <c r="G1" s="5"/>
      <c r="H1" s="5"/>
      <c r="I1" s="5"/>
      <c r="J1" s="5"/>
      <c r="K1" s="5"/>
    </row>
    <row r="2" spans="1:12" ht="14.25" customHeight="1">
      <c r="A2" s="15"/>
    </row>
    <row r="4" spans="1:12" ht="30" customHeight="1">
      <c r="A4" s="16" t="s">
        <v>42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16" t="s">
        <v>49</v>
      </c>
      <c r="I4" s="16" t="s">
        <v>50</v>
      </c>
      <c r="J4" s="16" t="s">
        <v>51</v>
      </c>
      <c r="K4" s="16" t="s">
        <v>52</v>
      </c>
      <c r="L4" s="16" t="s">
        <v>53</v>
      </c>
    </row>
    <row r="5" spans="1:12" ht="81.75" customHeight="1">
      <c r="A5" s="12" t="s">
        <v>277</v>
      </c>
      <c r="B5" s="12" t="s">
        <v>278</v>
      </c>
      <c r="C5" s="12" t="s">
        <v>279</v>
      </c>
      <c r="D5" s="12" t="s">
        <v>207</v>
      </c>
      <c r="E5" s="12" t="s">
        <v>280</v>
      </c>
      <c r="F5" s="12" t="s">
        <v>281</v>
      </c>
      <c r="G5" s="12" t="s">
        <v>282</v>
      </c>
      <c r="H5" s="12" t="s">
        <v>283</v>
      </c>
      <c r="I5" s="19" t="s">
        <v>17</v>
      </c>
      <c r="J5" s="20"/>
      <c r="K5" s="12" t="s">
        <v>61</v>
      </c>
      <c r="L5" s="12"/>
    </row>
    <row r="6" spans="1:12" ht="81.75" customHeight="1">
      <c r="A6" s="21" t="s">
        <v>284</v>
      </c>
      <c r="B6" s="21" t="s">
        <v>278</v>
      </c>
      <c r="C6" s="21" t="s">
        <v>285</v>
      </c>
      <c r="D6" s="21" t="s">
        <v>207</v>
      </c>
      <c r="E6" s="21" t="s">
        <v>286</v>
      </c>
      <c r="F6" s="21" t="s">
        <v>287</v>
      </c>
      <c r="G6" s="21" t="s">
        <v>288</v>
      </c>
      <c r="H6" s="12" t="s">
        <v>289</v>
      </c>
      <c r="I6" s="19" t="s">
        <v>17</v>
      </c>
      <c r="J6" s="20"/>
      <c r="K6" s="21" t="s">
        <v>290</v>
      </c>
      <c r="L6" s="21"/>
    </row>
    <row r="7" spans="1:12" ht="81.75" customHeight="1">
      <c r="A7" s="12" t="s">
        <v>291</v>
      </c>
      <c r="B7" s="12" t="s">
        <v>278</v>
      </c>
      <c r="C7" s="12" t="s">
        <v>292</v>
      </c>
      <c r="D7" s="12" t="s">
        <v>207</v>
      </c>
      <c r="E7" s="12" t="s">
        <v>293</v>
      </c>
      <c r="F7" s="12" t="s">
        <v>294</v>
      </c>
      <c r="G7" s="12" t="s">
        <v>295</v>
      </c>
      <c r="H7" s="12" t="s">
        <v>296</v>
      </c>
      <c r="I7" s="19" t="s">
        <v>17</v>
      </c>
      <c r="J7" s="20"/>
      <c r="K7" s="12" t="s">
        <v>61</v>
      </c>
      <c r="L7" s="12"/>
    </row>
    <row r="8" spans="1:12" ht="81.75" customHeight="1">
      <c r="A8" s="21" t="s">
        <v>297</v>
      </c>
      <c r="B8" s="21" t="s">
        <v>278</v>
      </c>
      <c r="C8" s="21" t="s">
        <v>298</v>
      </c>
      <c r="D8" s="21" t="s">
        <v>207</v>
      </c>
      <c r="E8" s="21" t="s">
        <v>299</v>
      </c>
      <c r="F8" s="21" t="s">
        <v>300</v>
      </c>
      <c r="G8" s="21" t="s">
        <v>301</v>
      </c>
      <c r="H8" s="12" t="s">
        <v>302</v>
      </c>
      <c r="I8" s="19" t="s">
        <v>17</v>
      </c>
      <c r="J8" s="20"/>
      <c r="K8" s="21" t="s">
        <v>290</v>
      </c>
      <c r="L8" s="21"/>
    </row>
    <row r="9" spans="1:12" ht="81.75" customHeight="1">
      <c r="A9" s="12" t="s">
        <v>303</v>
      </c>
      <c r="B9" s="12" t="s">
        <v>278</v>
      </c>
      <c r="C9" s="12" t="s">
        <v>304</v>
      </c>
      <c r="D9" s="12" t="s">
        <v>207</v>
      </c>
      <c r="E9" s="12" t="s">
        <v>305</v>
      </c>
      <c r="F9" s="12" t="s">
        <v>306</v>
      </c>
      <c r="G9" s="12" t="s">
        <v>216</v>
      </c>
      <c r="H9" s="22" t="s">
        <v>242</v>
      </c>
      <c r="I9" s="23" t="s">
        <v>19</v>
      </c>
      <c r="J9" s="27" t="s">
        <v>30</v>
      </c>
      <c r="K9" s="12" t="s">
        <v>68</v>
      </c>
      <c r="L9" s="12" t="s">
        <v>307</v>
      </c>
    </row>
    <row r="10" spans="1:12" ht="81.75" customHeight="1">
      <c r="A10" s="21" t="s">
        <v>308</v>
      </c>
      <c r="B10" s="21" t="s">
        <v>278</v>
      </c>
      <c r="C10" s="21" t="s">
        <v>309</v>
      </c>
      <c r="D10" s="21" t="s">
        <v>207</v>
      </c>
      <c r="E10" s="21" t="s">
        <v>310</v>
      </c>
      <c r="F10" s="21" t="s">
        <v>311</v>
      </c>
      <c r="G10" s="21" t="s">
        <v>312</v>
      </c>
      <c r="H10" s="12" t="s">
        <v>313</v>
      </c>
      <c r="I10" s="19" t="s">
        <v>17</v>
      </c>
      <c r="J10" s="20"/>
      <c r="K10" s="21" t="s">
        <v>61</v>
      </c>
      <c r="L10" s="21"/>
    </row>
    <row r="11" spans="1:12" ht="81.75" customHeight="1">
      <c r="A11" s="12" t="s">
        <v>314</v>
      </c>
      <c r="B11" s="12" t="s">
        <v>278</v>
      </c>
      <c r="C11" s="12" t="s">
        <v>315</v>
      </c>
      <c r="D11" s="12" t="s">
        <v>207</v>
      </c>
      <c r="E11" s="12" t="s">
        <v>316</v>
      </c>
      <c r="F11" s="12" t="s">
        <v>281</v>
      </c>
      <c r="G11" s="12" t="s">
        <v>317</v>
      </c>
      <c r="H11" s="12" t="s">
        <v>318</v>
      </c>
      <c r="I11" s="19" t="s">
        <v>17</v>
      </c>
      <c r="J11" s="20"/>
      <c r="K11" s="12" t="s">
        <v>61</v>
      </c>
      <c r="L11" s="12"/>
    </row>
    <row r="12" spans="1:12" ht="81.75" customHeight="1">
      <c r="A12" s="21" t="s">
        <v>319</v>
      </c>
      <c r="B12" s="21" t="s">
        <v>278</v>
      </c>
      <c r="C12" s="21" t="s">
        <v>320</v>
      </c>
      <c r="D12" s="21" t="s">
        <v>321</v>
      </c>
      <c r="E12" s="21" t="s">
        <v>322</v>
      </c>
      <c r="F12" s="21" t="s">
        <v>323</v>
      </c>
      <c r="G12" s="21" t="s">
        <v>324</v>
      </c>
      <c r="H12" s="12" t="s">
        <v>325</v>
      </c>
      <c r="I12" s="19" t="s">
        <v>17</v>
      </c>
      <c r="J12" s="20"/>
      <c r="K12" s="21" t="s">
        <v>326</v>
      </c>
      <c r="L12" s="21"/>
    </row>
    <row r="13" spans="1:12" ht="81.75" customHeight="1">
      <c r="A13" s="12" t="s">
        <v>327</v>
      </c>
      <c r="B13" s="12" t="s">
        <v>278</v>
      </c>
      <c r="C13" s="12" t="s">
        <v>328</v>
      </c>
      <c r="D13" s="12" t="s">
        <v>207</v>
      </c>
      <c r="E13" s="12" t="s">
        <v>329</v>
      </c>
      <c r="F13" s="12" t="s">
        <v>330</v>
      </c>
      <c r="G13" s="12" t="s">
        <v>331</v>
      </c>
      <c r="H13" s="12" t="s">
        <v>325</v>
      </c>
      <c r="I13" s="19" t="s">
        <v>17</v>
      </c>
      <c r="J13" s="20"/>
      <c r="K13" s="12" t="s">
        <v>39</v>
      </c>
      <c r="L13" s="12"/>
    </row>
    <row r="14" spans="1:12" ht="81.75" customHeight="1">
      <c r="A14" s="21" t="s">
        <v>332</v>
      </c>
      <c r="B14" s="21" t="s">
        <v>278</v>
      </c>
      <c r="C14" s="21" t="s">
        <v>333</v>
      </c>
      <c r="D14" s="21" t="s">
        <v>207</v>
      </c>
      <c r="E14" s="21" t="s">
        <v>334</v>
      </c>
      <c r="F14" s="21" t="s">
        <v>335</v>
      </c>
      <c r="G14" s="21" t="s">
        <v>336</v>
      </c>
      <c r="H14" s="12" t="s">
        <v>337</v>
      </c>
      <c r="I14" s="19" t="s">
        <v>17</v>
      </c>
      <c r="J14" s="20"/>
      <c r="K14" s="21" t="s">
        <v>290</v>
      </c>
      <c r="L14" s="21"/>
    </row>
  </sheetData>
  <autoFilter ref="A4:L14"/>
  <mergeCells count="2">
    <mergeCell ref="A1:E1"/>
    <mergeCell ref="F1:K1"/>
  </mergeCells>
  <dataValidations count="2">
    <dataValidation type="list" allowBlank="1" sqref="I5:I14">
      <formula1>"Pass,Fail,Blocked,Not Executed"</formula1>
      <formula2>0</formula2>
    </dataValidation>
    <dataValidation type="list" allowBlank="1" sqref="J5:J14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5"/>
  <sheetViews>
    <sheetView showGridLines="0" zoomScaleNormal="100" workbookViewId="0">
      <pane ySplit="4" topLeftCell="A13" activePane="bottomLeft" state="frozen"/>
      <selection pane="bottomLeft" activeCell="C9" sqref="C9"/>
    </sheetView>
  </sheetViews>
  <sheetFormatPr defaultColWidth="8.6640625" defaultRowHeight="14.4"/>
  <cols>
    <col min="1" max="1" width="15" customWidth="1"/>
    <col min="2" max="2" width="16" customWidth="1"/>
    <col min="3" max="3" width="30" customWidth="1"/>
    <col min="4" max="4" width="26" customWidth="1"/>
    <col min="5" max="5" width="46" customWidth="1"/>
    <col min="6" max="6" width="28" customWidth="1"/>
    <col min="7" max="7" width="42" customWidth="1"/>
    <col min="8" max="8" width="40" style="25" customWidth="1"/>
    <col min="9" max="9" width="13" customWidth="1"/>
    <col min="10" max="10" width="11" customWidth="1"/>
    <col min="11" max="11" width="22" customWidth="1"/>
    <col min="12" max="12" width="34" customWidth="1"/>
  </cols>
  <sheetData>
    <row r="1" spans="1:12" ht="16.5" customHeight="1">
      <c r="A1" s="5" t="s">
        <v>338</v>
      </c>
      <c r="B1" s="5"/>
      <c r="C1" s="5"/>
      <c r="D1" s="5"/>
      <c r="E1" s="5"/>
      <c r="F1" s="5"/>
    </row>
    <row r="2" spans="1:12" ht="14.25" customHeight="1">
      <c r="A2" s="15"/>
    </row>
    <row r="4" spans="1:12" ht="30" customHeight="1">
      <c r="A4" s="16" t="s">
        <v>42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26" t="s">
        <v>49</v>
      </c>
      <c r="I4" s="16" t="s">
        <v>50</v>
      </c>
      <c r="J4" s="16" t="s">
        <v>51</v>
      </c>
      <c r="K4" s="16" t="s">
        <v>52</v>
      </c>
      <c r="L4" s="16" t="s">
        <v>53</v>
      </c>
    </row>
    <row r="5" spans="1:12" ht="81.75" customHeight="1">
      <c r="A5" s="12" t="s">
        <v>339</v>
      </c>
      <c r="B5" s="12" t="s">
        <v>10</v>
      </c>
      <c r="C5" s="12" t="s">
        <v>340</v>
      </c>
      <c r="D5" s="12" t="s">
        <v>207</v>
      </c>
      <c r="E5" s="12" t="s">
        <v>341</v>
      </c>
      <c r="F5" s="12" t="s">
        <v>342</v>
      </c>
      <c r="G5" s="12" t="s">
        <v>343</v>
      </c>
      <c r="H5" s="12" t="s">
        <v>344</v>
      </c>
      <c r="I5" s="19" t="s">
        <v>17</v>
      </c>
      <c r="J5" s="20"/>
      <c r="K5" s="12" t="s">
        <v>61</v>
      </c>
      <c r="L5" s="12"/>
    </row>
    <row r="6" spans="1:12" ht="81.75" customHeight="1">
      <c r="A6" s="12" t="s">
        <v>345</v>
      </c>
      <c r="B6" s="12" t="s">
        <v>10</v>
      </c>
      <c r="C6" s="12" t="s">
        <v>346</v>
      </c>
      <c r="D6" s="12" t="s">
        <v>207</v>
      </c>
      <c r="E6" s="12" t="s">
        <v>347</v>
      </c>
      <c r="F6" s="12" t="s">
        <v>348</v>
      </c>
      <c r="G6" s="12" t="s">
        <v>349</v>
      </c>
      <c r="H6" s="12" t="s">
        <v>344</v>
      </c>
      <c r="I6" s="19" t="s">
        <v>17</v>
      </c>
      <c r="J6" s="20"/>
      <c r="K6" s="12" t="s">
        <v>81</v>
      </c>
      <c r="L6" s="12" t="s">
        <v>350</v>
      </c>
    </row>
    <row r="7" spans="1:12" ht="81.75" customHeight="1">
      <c r="A7" s="12" t="s">
        <v>351</v>
      </c>
      <c r="B7" s="21" t="s">
        <v>10</v>
      </c>
      <c r="C7" s="21" t="s">
        <v>352</v>
      </c>
      <c r="D7" s="21" t="s">
        <v>353</v>
      </c>
      <c r="E7" s="21" t="s">
        <v>354</v>
      </c>
      <c r="F7" s="21" t="s">
        <v>355</v>
      </c>
      <c r="G7" s="21" t="s">
        <v>356</v>
      </c>
      <c r="H7" s="12" t="s">
        <v>344</v>
      </c>
      <c r="I7" s="19" t="s">
        <v>17</v>
      </c>
      <c r="J7" s="20"/>
      <c r="K7" s="21" t="s">
        <v>39</v>
      </c>
      <c r="L7" s="21"/>
    </row>
    <row r="8" spans="1:12" ht="81.75" customHeight="1">
      <c r="A8" s="12" t="s">
        <v>357</v>
      </c>
      <c r="B8" s="12" t="s">
        <v>10</v>
      </c>
      <c r="C8" s="12" t="s">
        <v>358</v>
      </c>
      <c r="D8" s="12" t="s">
        <v>359</v>
      </c>
      <c r="E8" s="12" t="s">
        <v>360</v>
      </c>
      <c r="F8" s="12" t="s">
        <v>361</v>
      </c>
      <c r="G8" s="12" t="s">
        <v>362</v>
      </c>
      <c r="H8" s="12" t="s">
        <v>363</v>
      </c>
      <c r="I8" s="19" t="s">
        <v>17</v>
      </c>
      <c r="J8" s="20"/>
      <c r="K8" s="12" t="s">
        <v>180</v>
      </c>
      <c r="L8" s="12"/>
    </row>
    <row r="9" spans="1:12" ht="81.75" customHeight="1">
      <c r="A9" s="12" t="s">
        <v>364</v>
      </c>
      <c r="B9" s="21" t="s">
        <v>10</v>
      </c>
      <c r="C9" s="21" t="s">
        <v>365</v>
      </c>
      <c r="D9" s="21" t="s">
        <v>359</v>
      </c>
      <c r="E9" s="21" t="s">
        <v>366</v>
      </c>
      <c r="F9" s="21" t="s">
        <v>367</v>
      </c>
      <c r="G9" s="21" t="s">
        <v>368</v>
      </c>
      <c r="H9" s="12" t="s">
        <v>363</v>
      </c>
      <c r="I9" s="19" t="s">
        <v>17</v>
      </c>
      <c r="J9" s="20"/>
      <c r="K9" s="21" t="s">
        <v>180</v>
      </c>
      <c r="L9" s="21" t="s">
        <v>369</v>
      </c>
    </row>
    <row r="10" spans="1:12" ht="81.75" customHeight="1">
      <c r="A10" s="12" t="s">
        <v>370</v>
      </c>
      <c r="B10" s="12" t="s">
        <v>10</v>
      </c>
      <c r="C10" s="12" t="s">
        <v>371</v>
      </c>
      <c r="D10" s="12" t="s">
        <v>372</v>
      </c>
      <c r="E10" s="12" t="s">
        <v>373</v>
      </c>
      <c r="F10" s="12" t="s">
        <v>374</v>
      </c>
      <c r="G10" s="12" t="s">
        <v>375</v>
      </c>
      <c r="H10" s="29" t="s">
        <v>376</v>
      </c>
      <c r="I10" s="27" t="s">
        <v>23</v>
      </c>
      <c r="J10" s="20"/>
      <c r="K10" s="12" t="s">
        <v>39</v>
      </c>
      <c r="L10" s="12" t="s">
        <v>377</v>
      </c>
    </row>
    <row r="11" spans="1:12" ht="81.75" customHeight="1">
      <c r="A11" s="12" t="s">
        <v>378</v>
      </c>
      <c r="B11" s="21" t="s">
        <v>10</v>
      </c>
      <c r="C11" s="21" t="s">
        <v>379</v>
      </c>
      <c r="D11" s="21" t="s">
        <v>207</v>
      </c>
      <c r="E11" s="21" t="s">
        <v>380</v>
      </c>
      <c r="F11" s="21" t="s">
        <v>342</v>
      </c>
      <c r="G11" s="21" t="s">
        <v>381</v>
      </c>
      <c r="H11" s="12" t="s">
        <v>344</v>
      </c>
      <c r="I11" s="19" t="s">
        <v>17</v>
      </c>
      <c r="J11" s="20"/>
      <c r="K11" s="21" t="s">
        <v>39</v>
      </c>
      <c r="L11" s="21"/>
    </row>
    <row r="12" spans="1:12" ht="81.75" customHeight="1">
      <c r="A12" s="12" t="s">
        <v>382</v>
      </c>
      <c r="B12" s="12" t="s">
        <v>383</v>
      </c>
      <c r="C12" s="12" t="s">
        <v>384</v>
      </c>
      <c r="D12" s="12" t="s">
        <v>385</v>
      </c>
      <c r="E12" s="12" t="s">
        <v>386</v>
      </c>
      <c r="F12" s="12" t="s">
        <v>387</v>
      </c>
      <c r="G12" s="12" t="s">
        <v>388</v>
      </c>
      <c r="H12" s="12" t="s">
        <v>389</v>
      </c>
      <c r="I12" s="19" t="s">
        <v>17</v>
      </c>
      <c r="J12" s="20"/>
      <c r="K12" s="12" t="s">
        <v>390</v>
      </c>
      <c r="L12" s="12"/>
    </row>
    <row r="13" spans="1:12" ht="81.75" customHeight="1">
      <c r="A13" s="12" t="s">
        <v>391</v>
      </c>
      <c r="B13" s="21" t="s">
        <v>383</v>
      </c>
      <c r="C13" s="21" t="s">
        <v>392</v>
      </c>
      <c r="D13" s="21" t="s">
        <v>393</v>
      </c>
      <c r="E13" s="21" t="s">
        <v>394</v>
      </c>
      <c r="F13" s="21" t="s">
        <v>395</v>
      </c>
      <c r="G13" s="21" t="s">
        <v>396</v>
      </c>
      <c r="H13" s="12" t="s">
        <v>397</v>
      </c>
      <c r="I13" s="19" t="s">
        <v>17</v>
      </c>
      <c r="J13" s="20"/>
      <c r="K13" s="21" t="s">
        <v>39</v>
      </c>
      <c r="L13" s="21" t="s">
        <v>398</v>
      </c>
    </row>
    <row r="14" spans="1:12" ht="81.75" customHeight="1">
      <c r="A14" s="12" t="s">
        <v>399</v>
      </c>
      <c r="B14" s="12" t="s">
        <v>383</v>
      </c>
      <c r="C14" s="12" t="s">
        <v>400</v>
      </c>
      <c r="D14" s="12" t="s">
        <v>401</v>
      </c>
      <c r="E14" s="12" t="s">
        <v>402</v>
      </c>
      <c r="F14" s="12" t="s">
        <v>403</v>
      </c>
      <c r="G14" s="12" t="s">
        <v>404</v>
      </c>
      <c r="H14" s="12" t="s">
        <v>405</v>
      </c>
      <c r="I14" s="19" t="s">
        <v>17</v>
      </c>
      <c r="J14" s="20"/>
      <c r="K14" s="12" t="s">
        <v>68</v>
      </c>
      <c r="L14" s="12"/>
    </row>
    <row r="15" spans="1:12" ht="81.75" customHeight="1">
      <c r="A15" s="12" t="s">
        <v>406</v>
      </c>
      <c r="B15" s="21" t="s">
        <v>383</v>
      </c>
      <c r="C15" s="21" t="s">
        <v>407</v>
      </c>
      <c r="D15" s="21" t="s">
        <v>408</v>
      </c>
      <c r="E15" s="21" t="s">
        <v>409</v>
      </c>
      <c r="F15" s="21" t="s">
        <v>410</v>
      </c>
      <c r="G15" s="21" t="s">
        <v>411</v>
      </c>
      <c r="H15" s="12" t="s">
        <v>412</v>
      </c>
      <c r="I15" s="19" t="s">
        <v>17</v>
      </c>
      <c r="J15" s="20"/>
      <c r="K15" s="21" t="s">
        <v>39</v>
      </c>
      <c r="L15" s="21"/>
    </row>
  </sheetData>
  <autoFilter ref="A4:L15"/>
  <mergeCells count="1">
    <mergeCell ref="A1:F1"/>
  </mergeCells>
  <dataValidations count="2">
    <dataValidation type="list" allowBlank="1" sqref="I5:I15">
      <formula1>"Pass,Fail,Blocked,Not Executed"</formula1>
      <formula2>0</formula2>
    </dataValidation>
    <dataValidation type="list" allowBlank="1" sqref="J5:J15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09"/>
  <sheetViews>
    <sheetView showGridLines="0" topLeftCell="A7" zoomScaleNormal="100" workbookViewId="0">
      <selection activeCell="F10" sqref="F10"/>
    </sheetView>
  </sheetViews>
  <sheetFormatPr defaultColWidth="8.6640625" defaultRowHeight="14.4"/>
  <cols>
    <col min="1" max="1" width="12" customWidth="1"/>
    <col min="2" max="2" width="15" customWidth="1"/>
    <col min="3" max="3" width="40" customWidth="1"/>
    <col min="4" max="4" width="11" customWidth="1"/>
    <col min="5" max="5" width="45.109375" style="30" customWidth="1"/>
    <col min="6" max="6" width="60" customWidth="1"/>
  </cols>
  <sheetData>
    <row r="1" spans="1:6" ht="16.5" customHeight="1">
      <c r="A1" s="5" t="s">
        <v>413</v>
      </c>
      <c r="B1" s="5"/>
      <c r="C1" s="5"/>
      <c r="D1" s="5"/>
      <c r="E1" s="5"/>
    </row>
    <row r="2" spans="1:6" ht="14.25" customHeight="1">
      <c r="A2" s="15"/>
    </row>
    <row r="4" spans="1:6" ht="27.75" customHeight="1">
      <c r="A4" s="16" t="s">
        <v>414</v>
      </c>
      <c r="B4" s="16" t="s">
        <v>42</v>
      </c>
      <c r="C4" s="16" t="s">
        <v>415</v>
      </c>
      <c r="D4" s="16" t="s">
        <v>51</v>
      </c>
      <c r="E4" s="31" t="s">
        <v>416</v>
      </c>
      <c r="F4" s="16" t="s">
        <v>417</v>
      </c>
    </row>
    <row r="5" spans="1:6" ht="85.5" customHeight="1">
      <c r="A5" s="11" t="s">
        <v>418</v>
      </c>
      <c r="B5" s="11" t="s">
        <v>97</v>
      </c>
      <c r="C5" s="12" t="s">
        <v>419</v>
      </c>
      <c r="D5" s="24" t="s">
        <v>28</v>
      </c>
      <c r="E5" s="14" t="s">
        <v>420</v>
      </c>
      <c r="F5" s="12" t="s">
        <v>421</v>
      </c>
    </row>
    <row r="6" spans="1:6" ht="85.5" customHeight="1">
      <c r="A6" s="11" t="s">
        <v>422</v>
      </c>
      <c r="B6" s="11" t="s">
        <v>225</v>
      </c>
      <c r="C6" s="12" t="s">
        <v>423</v>
      </c>
      <c r="D6" s="24" t="s">
        <v>28</v>
      </c>
      <c r="E6" s="12" t="s">
        <v>424</v>
      </c>
      <c r="F6" s="12" t="s">
        <v>425</v>
      </c>
    </row>
    <row r="7" spans="1:6" ht="85.5" customHeight="1">
      <c r="A7" s="11" t="s">
        <v>426</v>
      </c>
      <c r="B7" s="11" t="s">
        <v>212</v>
      </c>
      <c r="C7" s="12" t="s">
        <v>427</v>
      </c>
      <c r="D7" s="27" t="s">
        <v>30</v>
      </c>
      <c r="E7" s="12" t="s">
        <v>428</v>
      </c>
      <c r="F7" s="12" t="s">
        <v>429</v>
      </c>
    </row>
    <row r="8" spans="1:6" ht="85.5" customHeight="1">
      <c r="A8" s="11" t="s">
        <v>430</v>
      </c>
      <c r="B8" s="11" t="s">
        <v>237</v>
      </c>
      <c r="C8" s="12" t="s">
        <v>431</v>
      </c>
      <c r="D8" s="27" t="s">
        <v>30</v>
      </c>
      <c r="E8" s="12" t="s">
        <v>432</v>
      </c>
      <c r="F8" s="12" t="s">
        <v>433</v>
      </c>
    </row>
    <row r="9" spans="1:6" ht="85.5" customHeight="1">
      <c r="A9" s="11" t="s">
        <v>434</v>
      </c>
      <c r="B9" s="11" t="s">
        <v>62</v>
      </c>
      <c r="C9" s="12" t="s">
        <v>435</v>
      </c>
      <c r="D9" s="27" t="s">
        <v>30</v>
      </c>
      <c r="E9" s="12" t="s">
        <v>436</v>
      </c>
      <c r="F9" s="12" t="s">
        <v>437</v>
      </c>
    </row>
    <row r="10" spans="1:6" ht="85.5" customHeight="1">
      <c r="A10" s="11" t="s">
        <v>438</v>
      </c>
      <c r="B10" s="11" t="s">
        <v>83</v>
      </c>
      <c r="C10" s="12" t="s">
        <v>439</v>
      </c>
      <c r="D10" s="27" t="s">
        <v>30</v>
      </c>
      <c r="E10" s="12" t="s">
        <v>440</v>
      </c>
      <c r="F10" s="12" t="s">
        <v>441</v>
      </c>
    </row>
    <row r="11" spans="1:6" ht="60" customHeight="1">
      <c r="A11" s="32"/>
      <c r="B11" s="32"/>
      <c r="C11" s="32"/>
      <c r="D11" s="32"/>
      <c r="E11" s="33"/>
      <c r="F11" s="32"/>
    </row>
    <row r="12" spans="1:6" ht="60" customHeight="1">
      <c r="A12" s="32"/>
      <c r="B12" s="32"/>
      <c r="C12" s="32"/>
      <c r="D12" s="32"/>
      <c r="E12" s="33"/>
      <c r="F12" s="32"/>
    </row>
    <row r="13" spans="1:6" ht="60" customHeight="1">
      <c r="A13" s="32"/>
      <c r="B13" s="32"/>
      <c r="C13" s="32"/>
      <c r="D13" s="32"/>
      <c r="E13" s="33"/>
      <c r="F13" s="32"/>
    </row>
    <row r="14" spans="1:6" ht="60" customHeight="1">
      <c r="A14" s="32"/>
      <c r="B14" s="32"/>
      <c r="C14" s="32"/>
      <c r="D14" s="32"/>
      <c r="E14" s="33"/>
      <c r="F14" s="32"/>
    </row>
    <row r="15" spans="1:6" ht="60" customHeight="1">
      <c r="A15" s="32"/>
      <c r="B15" s="32"/>
      <c r="C15" s="32"/>
      <c r="D15" s="32"/>
      <c r="E15" s="33"/>
      <c r="F15" s="32"/>
    </row>
    <row r="16" spans="1:6" ht="60" customHeight="1">
      <c r="A16" s="32"/>
      <c r="B16" s="32"/>
      <c r="C16" s="32"/>
      <c r="D16" s="32"/>
      <c r="E16" s="33"/>
      <c r="F16" s="32"/>
    </row>
    <row r="17" spans="1:6" ht="60" customHeight="1">
      <c r="A17" s="32"/>
      <c r="B17" s="32"/>
      <c r="C17" s="32"/>
      <c r="D17" s="32"/>
      <c r="E17" s="33"/>
      <c r="F17" s="32"/>
    </row>
    <row r="18" spans="1:6" ht="60" customHeight="1">
      <c r="A18" s="32"/>
      <c r="B18" s="32"/>
      <c r="C18" s="32"/>
      <c r="D18" s="32"/>
      <c r="E18" s="33"/>
      <c r="F18" s="32"/>
    </row>
    <row r="19" spans="1:6" ht="60" customHeight="1">
      <c r="A19" s="32"/>
      <c r="B19" s="32"/>
      <c r="C19" s="32"/>
      <c r="D19" s="32"/>
      <c r="E19" s="33"/>
      <c r="F19" s="32"/>
    </row>
    <row r="20" spans="1:6" ht="60" customHeight="1">
      <c r="A20" s="32"/>
      <c r="B20" s="32"/>
      <c r="C20" s="32"/>
      <c r="D20" s="32"/>
      <c r="E20" s="33"/>
      <c r="F20" s="32"/>
    </row>
    <row r="21" spans="1:6" ht="60" customHeight="1">
      <c r="A21" s="32"/>
      <c r="B21" s="32"/>
      <c r="C21" s="32"/>
      <c r="D21" s="32"/>
      <c r="E21" s="33"/>
      <c r="F21" s="32"/>
    </row>
    <row r="22" spans="1:6" ht="60" customHeight="1">
      <c r="A22" s="32"/>
      <c r="B22" s="32"/>
      <c r="C22" s="32"/>
      <c r="D22" s="32"/>
      <c r="E22" s="33"/>
      <c r="F22" s="32"/>
    </row>
    <row r="23" spans="1:6" ht="60" customHeight="1">
      <c r="A23" s="32"/>
      <c r="B23" s="32"/>
      <c r="C23" s="32"/>
      <c r="D23" s="32"/>
      <c r="E23" s="33"/>
      <c r="F23" s="32"/>
    </row>
    <row r="24" spans="1:6" ht="60" customHeight="1">
      <c r="A24" s="32"/>
      <c r="B24" s="32"/>
      <c r="C24" s="32"/>
      <c r="D24" s="32"/>
      <c r="E24" s="33"/>
      <c r="F24" s="32"/>
    </row>
    <row r="109" ht="14.25" customHeight="1"/>
  </sheetData>
  <mergeCells count="1">
    <mergeCell ref="A1:E1"/>
  </mergeCells>
  <dataValidations count="1">
    <dataValidation type="list" allowBlank="1" sqref="D5:D24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G29"/>
  <sheetViews>
    <sheetView showGridLines="0" zoomScaleNormal="100" workbookViewId="0">
      <selection activeCell="C8" sqref="C8"/>
    </sheetView>
  </sheetViews>
  <sheetFormatPr defaultColWidth="8.6640625" defaultRowHeight="14.4"/>
  <cols>
    <col min="2" max="2" width="21.5546875" customWidth="1"/>
    <col min="3" max="3" width="12.109375" customWidth="1"/>
    <col min="4" max="4" width="27.33203125" customWidth="1"/>
    <col min="5" max="5" width="9.21875" customWidth="1"/>
    <col min="6" max="6" width="9.6640625" customWidth="1"/>
    <col min="7" max="7" width="6.21875" customWidth="1"/>
  </cols>
  <sheetData>
    <row r="2" spans="2:7" ht="16.5" customHeight="1">
      <c r="B2" s="5" t="s">
        <v>442</v>
      </c>
      <c r="C2" s="5"/>
      <c r="D2" s="5"/>
      <c r="E2" s="5"/>
    </row>
    <row r="3" spans="2:7" ht="14.25" customHeight="1">
      <c r="B3" s="15"/>
    </row>
    <row r="5" spans="2:7" ht="14.25" customHeight="1">
      <c r="B5" s="34" t="s">
        <v>443</v>
      </c>
      <c r="C5" s="34" t="s">
        <v>4</v>
      </c>
      <c r="D5" s="34" t="s">
        <v>6</v>
      </c>
      <c r="E5" s="34" t="s">
        <v>8</v>
      </c>
      <c r="F5" s="34" t="s">
        <v>10</v>
      </c>
      <c r="G5" s="34" t="s">
        <v>444</v>
      </c>
    </row>
    <row r="6" spans="2:7" ht="14.25" customHeight="1">
      <c r="B6" s="35" t="s">
        <v>445</v>
      </c>
      <c r="C6" s="36">
        <f>COUNTA('Post Job'!$A$5:$A$26)</f>
        <v>22</v>
      </c>
      <c r="D6" s="36">
        <f>COUNTA('Job Search'!$A$5:$A$16)</f>
        <v>12</v>
      </c>
      <c r="E6" s="36">
        <f>COUNTA('Job Filter'!$A$5:$A$14)</f>
        <v>10</v>
      </c>
      <c r="F6" s="36">
        <f>COUNTA('Job Detail'!$A$5:$A$15)</f>
        <v>11</v>
      </c>
      <c r="G6" s="37">
        <f>SUM(C6:F6)</f>
        <v>55</v>
      </c>
    </row>
    <row r="7" spans="2:7" ht="14.25" customHeight="1">
      <c r="B7" s="35" t="s">
        <v>17</v>
      </c>
      <c r="C7" s="36">
        <f>COUNTIF('Post Job'!$I$5:$I$26,"Pass")</f>
        <v>21</v>
      </c>
      <c r="D7" s="36">
        <f>COUNTIF('Job Search'!$I$5:$I$16,"Pass")</f>
        <v>9</v>
      </c>
      <c r="E7" s="36">
        <f>COUNTIF('Job Filter'!$I$5:$I$14,"Pass")</f>
        <v>9</v>
      </c>
      <c r="F7" s="36">
        <f>COUNTIF('Job Detail'!$I$5:$I$15,"Pass")</f>
        <v>10</v>
      </c>
      <c r="G7" s="37">
        <f>SUM(C7:F7)</f>
        <v>49</v>
      </c>
    </row>
    <row r="8" spans="2:7" ht="14.25" customHeight="1">
      <c r="B8" s="35" t="s">
        <v>19</v>
      </c>
      <c r="C8" s="36">
        <f>COUNTIF('Post Job'!$I$5:$I$26,"Fail")</f>
        <v>1</v>
      </c>
      <c r="D8" s="36">
        <f>COUNTIF('Job Search'!$I$5:$I$16,"Fail")</f>
        <v>3</v>
      </c>
      <c r="E8" s="36">
        <f>COUNTIF('Job Filter'!$I$5:$I$14,"Fail")</f>
        <v>1</v>
      </c>
      <c r="F8" s="36">
        <f>COUNTIF('Job Detail'!$I$5:$I$15,"Fail")</f>
        <v>0</v>
      </c>
      <c r="G8" s="37">
        <f>SUM(C8:F8)</f>
        <v>5</v>
      </c>
    </row>
    <row r="9" spans="2:7" ht="14.25" customHeight="1">
      <c r="B9" s="35" t="s">
        <v>21</v>
      </c>
      <c r="C9" s="36">
        <f>COUNTIF('Post Job'!$I$5:$I$26,"Blocked")</f>
        <v>0</v>
      </c>
      <c r="D9" s="36">
        <f>COUNTIF('Job Search'!$I$5:$I$16,"Blocked")</f>
        <v>0</v>
      </c>
      <c r="E9" s="36">
        <f>COUNTIF('Job Filter'!$I$5:$I$14,"Blocked")</f>
        <v>0</v>
      </c>
      <c r="F9" s="36">
        <f>COUNTIF('Job Detail'!$I$5:$I$15,"Blocked")</f>
        <v>0</v>
      </c>
      <c r="G9" s="37">
        <f>SUM(C9:F9)</f>
        <v>0</v>
      </c>
    </row>
    <row r="10" spans="2:7" ht="14.25" customHeight="1">
      <c r="B10" s="35" t="s">
        <v>23</v>
      </c>
      <c r="C10" s="36">
        <f>COUNTIF('Post Job'!$I$5:$I$26,"Not Executed")</f>
        <v>0</v>
      </c>
      <c r="D10" s="36">
        <f>COUNTIF('Job Search'!$I$5:$I$16,"Not Executed")</f>
        <v>0</v>
      </c>
      <c r="E10" s="36">
        <f>COUNTIF('Job Filter'!$I$5:$I$14,"Not Executed")</f>
        <v>0</v>
      </c>
      <c r="F10" s="36">
        <f>COUNTIF('Job Detail'!$I$5:$I$15,"Not Executed")</f>
        <v>1</v>
      </c>
      <c r="G10" s="37">
        <f>SUM(C10:F10)</f>
        <v>1</v>
      </c>
    </row>
    <row r="11" spans="2:7" ht="14.25" customHeight="1">
      <c r="B11" s="35" t="s">
        <v>446</v>
      </c>
      <c r="C11" s="38"/>
      <c r="D11" s="38"/>
      <c r="E11" s="38"/>
      <c r="F11" s="38"/>
      <c r="G11" s="36">
        <f>G7+G8+G9</f>
        <v>54</v>
      </c>
    </row>
    <row r="12" spans="2:7" ht="14.25" customHeight="1">
      <c r="B12" s="35" t="s">
        <v>447</v>
      </c>
      <c r="C12" s="38"/>
      <c r="D12" s="38"/>
      <c r="E12" s="38"/>
      <c r="F12" s="38"/>
      <c r="G12" s="39">
        <f>IFERROR(G7/(G7+G8),"")</f>
        <v>0.90740740740740744</v>
      </c>
    </row>
    <row r="14" spans="2:7" ht="14.25" customHeight="1">
      <c r="B14" s="40" t="s">
        <v>448</v>
      </c>
    </row>
    <row r="15" spans="2:7" ht="14.25" customHeight="1">
      <c r="B15" s="16" t="s">
        <v>414</v>
      </c>
      <c r="C15" s="16" t="s">
        <v>449</v>
      </c>
      <c r="D15" s="16" t="s">
        <v>14</v>
      </c>
      <c r="E15" s="16" t="s">
        <v>51</v>
      </c>
    </row>
    <row r="16" spans="2:7" ht="30" customHeight="1">
      <c r="B16" s="11" t="s">
        <v>418</v>
      </c>
      <c r="C16" s="12" t="s">
        <v>97</v>
      </c>
      <c r="D16" s="12" t="s">
        <v>419</v>
      </c>
      <c r="E16" s="24" t="s">
        <v>28</v>
      </c>
    </row>
    <row r="17" spans="2:7" ht="30" customHeight="1">
      <c r="B17" s="11" t="s">
        <v>422</v>
      </c>
      <c r="C17" s="12" t="s">
        <v>225</v>
      </c>
      <c r="D17" s="12" t="s">
        <v>423</v>
      </c>
      <c r="E17" s="24" t="s">
        <v>28</v>
      </c>
    </row>
    <row r="18" spans="2:7" ht="30" customHeight="1">
      <c r="B18" s="11" t="s">
        <v>426</v>
      </c>
      <c r="C18" s="12" t="s">
        <v>212</v>
      </c>
      <c r="D18" s="12" t="s">
        <v>427</v>
      </c>
      <c r="E18" s="27" t="s">
        <v>30</v>
      </c>
    </row>
    <row r="19" spans="2:7" ht="30" customHeight="1">
      <c r="B19" s="11" t="s">
        <v>430</v>
      </c>
      <c r="C19" s="12" t="s">
        <v>237</v>
      </c>
      <c r="D19" s="12" t="s">
        <v>431</v>
      </c>
      <c r="E19" s="27" t="s">
        <v>30</v>
      </c>
    </row>
    <row r="20" spans="2:7" ht="30" customHeight="1">
      <c r="B20" s="11" t="s">
        <v>434</v>
      </c>
      <c r="C20" s="12" t="s">
        <v>62</v>
      </c>
      <c r="D20" s="12" t="s">
        <v>435</v>
      </c>
      <c r="E20" s="27" t="s">
        <v>30</v>
      </c>
    </row>
    <row r="21" spans="2:7" ht="30" customHeight="1">
      <c r="B21" s="11" t="s">
        <v>438</v>
      </c>
      <c r="C21" s="12" t="s">
        <v>83</v>
      </c>
      <c r="D21" s="12" t="s">
        <v>439</v>
      </c>
      <c r="E21" s="27" t="s">
        <v>30</v>
      </c>
    </row>
    <row r="23" spans="2:7" ht="14.25" customHeight="1">
      <c r="B23" s="10" t="s">
        <v>450</v>
      </c>
    </row>
    <row r="24" spans="2:7" ht="14.25" customHeight="1">
      <c r="B24" s="34" t="s">
        <v>51</v>
      </c>
      <c r="C24" s="34" t="s">
        <v>451</v>
      </c>
      <c r="D24" s="4" t="s">
        <v>452</v>
      </c>
      <c r="E24" s="4"/>
    </row>
    <row r="25" spans="2:7" ht="14.25" customHeight="1">
      <c r="B25" s="41" t="s">
        <v>28</v>
      </c>
      <c r="C25" s="36">
        <f>COUNTIF(Defects!$D$5:$D$24,"Medium")</f>
        <v>2</v>
      </c>
      <c r="D25" s="3" t="s">
        <v>453</v>
      </c>
      <c r="E25" s="3"/>
    </row>
    <row r="26" spans="2:7" ht="14.25" customHeight="1">
      <c r="B26" s="42" t="s">
        <v>30</v>
      </c>
      <c r="C26" s="36">
        <f>COUNTIF(Defects!$D$5:$D$24,"Low")</f>
        <v>4</v>
      </c>
      <c r="D26" s="3" t="s">
        <v>454</v>
      </c>
      <c r="E26" s="3"/>
    </row>
    <row r="27" spans="2:7" ht="14.25" customHeight="1">
      <c r="B27" s="35" t="s">
        <v>444</v>
      </c>
      <c r="C27" s="37">
        <f>SUM(C25:C26)</f>
        <v>6</v>
      </c>
      <c r="D27" s="2"/>
      <c r="E27" s="2"/>
    </row>
    <row r="29" spans="2:7" ht="75.75" customHeight="1">
      <c r="B29" s="1"/>
      <c r="C29" s="1"/>
      <c r="D29" s="1"/>
      <c r="E29" s="1"/>
      <c r="F29" s="1"/>
      <c r="G29" s="1"/>
    </row>
  </sheetData>
  <mergeCells count="6">
    <mergeCell ref="B29:G29"/>
    <mergeCell ref="B2:E2"/>
    <mergeCell ref="D24:E24"/>
    <mergeCell ref="D25:E25"/>
    <mergeCell ref="D26:E26"/>
    <mergeCell ref="D27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Post Job</vt:lpstr>
      <vt:lpstr>Job Search</vt:lpstr>
      <vt:lpstr>Job Filter</vt:lpstr>
      <vt:lpstr>Job Detail</vt:lpstr>
      <vt:lpstr>Defects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2026-09-10T03:10:01Z</dcterms:created>
  <dcterms:modified xsi:type="dcterms:W3CDTF">2026-09-10T07:03:33Z</dcterms:modified>
  <dc:language>en-US</dc:language>
</cp:coreProperties>
</file>